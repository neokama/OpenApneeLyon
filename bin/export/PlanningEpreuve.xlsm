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Données_Planning" sheetId="2" r:id="rId1"/>
    <sheet name="Visu_Planning" sheetId="1" r:id="rId2"/>
    <sheet name="Passages &amp; Appels" sheetId="4" r:id="rId3"/>
  </sheets>
  <definedNames>
    <definedName name="_xlnm._FilterDatabase" localSheetId="2" hidden="1">'Passages &amp; Appels'!$A$3:$O$371</definedName>
  </definedNames>
  <calcPr calcId="152511"/>
</workbook>
</file>

<file path=xl/calcChain.xml><?xml version="1.0" encoding="utf-8"?>
<calcChain xmlns="http://schemas.openxmlformats.org/spreadsheetml/2006/main">
  <c r="A5" i="1" l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A6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A7" i="1"/>
  <c r="O7" i="1" s="1"/>
  <c r="B7" i="1"/>
  <c r="C7" i="1"/>
  <c r="D7" i="1"/>
  <c r="E7" i="1"/>
  <c r="F7" i="1"/>
  <c r="G7" i="1"/>
  <c r="H7" i="1"/>
  <c r="I7" i="1"/>
  <c r="J7" i="1"/>
  <c r="K7" i="1"/>
  <c r="L7" i="1"/>
  <c r="M7" i="1"/>
  <c r="N7" i="1"/>
  <c r="P7" i="1"/>
  <c r="Q7" i="1"/>
  <c r="R7" i="1"/>
  <c r="S7" i="1"/>
  <c r="T7" i="1"/>
  <c r="U7" i="1"/>
  <c r="V7" i="1"/>
  <c r="W7" i="1"/>
  <c r="X7" i="1"/>
  <c r="A8" i="1"/>
  <c r="O8" i="1" s="1"/>
  <c r="B8" i="1"/>
  <c r="C8" i="1"/>
  <c r="D8" i="1"/>
  <c r="E8" i="1"/>
  <c r="F8" i="1"/>
  <c r="G8" i="1"/>
  <c r="H8" i="1"/>
  <c r="I8" i="1"/>
  <c r="J8" i="1"/>
  <c r="K8" i="1"/>
  <c r="L8" i="1"/>
  <c r="M8" i="1"/>
  <c r="N8" i="1"/>
  <c r="P8" i="1"/>
  <c r="Q8" i="1"/>
  <c r="R8" i="1"/>
  <c r="T8" i="1"/>
  <c r="U8" i="1"/>
  <c r="V8" i="1"/>
  <c r="X8" i="1"/>
  <c r="A9" i="1"/>
  <c r="O9" i="1" s="1"/>
  <c r="B9" i="1"/>
  <c r="C9" i="1"/>
  <c r="D9" i="1"/>
  <c r="E9" i="1"/>
  <c r="F9" i="1"/>
  <c r="G9" i="1"/>
  <c r="H9" i="1"/>
  <c r="I9" i="1"/>
  <c r="J9" i="1"/>
  <c r="K9" i="1"/>
  <c r="L9" i="1"/>
  <c r="M9" i="1"/>
  <c r="N9" i="1"/>
  <c r="P9" i="1"/>
  <c r="Q9" i="1"/>
  <c r="R9" i="1"/>
  <c r="T9" i="1"/>
  <c r="U9" i="1"/>
  <c r="V9" i="1"/>
  <c r="X9" i="1"/>
  <c r="A10" i="1"/>
  <c r="O10" i="1" s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P10" i="1"/>
  <c r="Q10" i="1"/>
  <c r="R10" i="1"/>
  <c r="T10" i="1"/>
  <c r="U10" i="1"/>
  <c r="V10" i="1"/>
  <c r="X10" i="1"/>
  <c r="A11" i="1"/>
  <c r="O11" i="1" s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P11" i="1"/>
  <c r="Q11" i="1"/>
  <c r="R11" i="1"/>
  <c r="T11" i="1"/>
  <c r="U11" i="1"/>
  <c r="V11" i="1"/>
  <c r="X11" i="1"/>
  <c r="A12" i="1"/>
  <c r="O12" i="1" s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P12" i="1"/>
  <c r="Q12" i="1"/>
  <c r="R12" i="1"/>
  <c r="T12" i="1"/>
  <c r="U12" i="1"/>
  <c r="V12" i="1"/>
  <c r="X12" i="1"/>
  <c r="A13" i="1"/>
  <c r="O13" i="1" s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P13" i="1"/>
  <c r="Q13" i="1"/>
  <c r="R13" i="1"/>
  <c r="T13" i="1"/>
  <c r="U13" i="1"/>
  <c r="V13" i="1"/>
  <c r="X13" i="1"/>
  <c r="A14" i="1"/>
  <c r="O14" i="1" s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P14" i="1"/>
  <c r="Q14" i="1"/>
  <c r="R14" i="1"/>
  <c r="T14" i="1"/>
  <c r="U14" i="1"/>
  <c r="V14" i="1"/>
  <c r="X14" i="1"/>
  <c r="A15" i="1"/>
  <c r="O15" i="1" s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P15" i="1"/>
  <c r="Q15" i="1"/>
  <c r="R15" i="1"/>
  <c r="T15" i="1"/>
  <c r="U15" i="1"/>
  <c r="V15" i="1"/>
  <c r="X15" i="1"/>
  <c r="A16" i="1"/>
  <c r="B16" i="1"/>
  <c r="C16" i="1"/>
  <c r="D16" i="1"/>
  <c r="E16" i="1"/>
  <c r="F16" i="1"/>
  <c r="G16" i="1"/>
  <c r="H16" i="1"/>
  <c r="I16" i="1"/>
  <c r="J16" i="1"/>
  <c r="K16" i="1"/>
  <c r="L16" i="1"/>
  <c r="M16" i="1"/>
  <c r="A17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P17" i="1"/>
  <c r="Q17" i="1"/>
  <c r="R17" i="1"/>
  <c r="T17" i="1"/>
  <c r="U17" i="1"/>
  <c r="V17" i="1"/>
  <c r="X17" i="1"/>
  <c r="A18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P18" i="1"/>
  <c r="Q18" i="1"/>
  <c r="R18" i="1"/>
  <c r="T18" i="1"/>
  <c r="U18" i="1"/>
  <c r="V18" i="1"/>
  <c r="X18" i="1"/>
  <c r="A19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P19" i="1"/>
  <c r="Q19" i="1"/>
  <c r="R19" i="1"/>
  <c r="T19" i="1"/>
  <c r="U19" i="1"/>
  <c r="V19" i="1"/>
  <c r="X19" i="1"/>
  <c r="A20" i="1"/>
  <c r="R20" i="1" s="1"/>
  <c r="B20" i="1"/>
  <c r="C20" i="1"/>
  <c r="D20" i="1"/>
  <c r="E20" i="1"/>
  <c r="F20" i="1"/>
  <c r="G20" i="1"/>
  <c r="H20" i="1"/>
  <c r="I20" i="1"/>
  <c r="J20" i="1"/>
  <c r="K20" i="1"/>
  <c r="L20" i="1"/>
  <c r="M20" i="1"/>
  <c r="X20" i="1"/>
  <c r="A21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P21" i="1"/>
  <c r="Q21" i="1"/>
  <c r="R21" i="1"/>
  <c r="T21" i="1"/>
  <c r="U21" i="1"/>
  <c r="V21" i="1"/>
  <c r="X21" i="1"/>
  <c r="A22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P22" i="1"/>
  <c r="Q22" i="1"/>
  <c r="R22" i="1"/>
  <c r="T22" i="1"/>
  <c r="U22" i="1"/>
  <c r="V22" i="1"/>
  <c r="X22" i="1"/>
  <c r="A23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P23" i="1"/>
  <c r="Q23" i="1"/>
  <c r="R23" i="1"/>
  <c r="T23" i="1"/>
  <c r="U23" i="1"/>
  <c r="V23" i="1"/>
  <c r="X23" i="1"/>
  <c r="A24" i="1"/>
  <c r="B24" i="1"/>
  <c r="C24" i="1"/>
  <c r="D24" i="1"/>
  <c r="E24" i="1"/>
  <c r="F24" i="1"/>
  <c r="G24" i="1"/>
  <c r="H24" i="1"/>
  <c r="I24" i="1"/>
  <c r="J24" i="1"/>
  <c r="K24" i="1"/>
  <c r="L24" i="1"/>
  <c r="M24" i="1"/>
  <c r="A25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P25" i="1"/>
  <c r="Q25" i="1"/>
  <c r="R25" i="1"/>
  <c r="T25" i="1"/>
  <c r="U25" i="1"/>
  <c r="V25" i="1"/>
  <c r="X25" i="1"/>
  <c r="A26" i="1"/>
  <c r="N26" i="1" s="1"/>
  <c r="B26" i="1"/>
  <c r="C26" i="1"/>
  <c r="D26" i="1"/>
  <c r="E26" i="1"/>
  <c r="F26" i="1"/>
  <c r="G26" i="1"/>
  <c r="H26" i="1"/>
  <c r="I26" i="1"/>
  <c r="J26" i="1"/>
  <c r="K26" i="1"/>
  <c r="L26" i="1"/>
  <c r="M26" i="1"/>
  <c r="P26" i="1"/>
  <c r="Q26" i="1"/>
  <c r="R26" i="1"/>
  <c r="U26" i="1"/>
  <c r="V26" i="1"/>
  <c r="X26" i="1"/>
  <c r="A27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P27" i="1"/>
  <c r="Q27" i="1"/>
  <c r="R27" i="1"/>
  <c r="T27" i="1"/>
  <c r="U27" i="1"/>
  <c r="V27" i="1"/>
  <c r="X27" i="1"/>
  <c r="A28" i="1"/>
  <c r="B28" i="1"/>
  <c r="C28" i="1"/>
  <c r="D28" i="1"/>
  <c r="E28" i="1"/>
  <c r="F28" i="1"/>
  <c r="G28" i="1"/>
  <c r="H28" i="1"/>
  <c r="I28" i="1"/>
  <c r="J28" i="1"/>
  <c r="K28" i="1"/>
  <c r="L28" i="1"/>
  <c r="M28" i="1"/>
  <c r="A29" i="1"/>
  <c r="P29" i="1" s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Q29" i="1"/>
  <c r="R29" i="1"/>
  <c r="T29" i="1"/>
  <c r="V29" i="1"/>
  <c r="X29" i="1"/>
  <c r="A30" i="1"/>
  <c r="N30" i="1" s="1"/>
  <c r="B30" i="1"/>
  <c r="C30" i="1"/>
  <c r="D30" i="1"/>
  <c r="E30" i="1"/>
  <c r="F30" i="1"/>
  <c r="G30" i="1"/>
  <c r="H30" i="1"/>
  <c r="I30" i="1"/>
  <c r="J30" i="1"/>
  <c r="K30" i="1"/>
  <c r="L30" i="1"/>
  <c r="M30" i="1"/>
  <c r="P30" i="1"/>
  <c r="Q30" i="1"/>
  <c r="R30" i="1"/>
  <c r="U30" i="1"/>
  <c r="V30" i="1"/>
  <c r="X30" i="1"/>
  <c r="A31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P31" i="1"/>
  <c r="Q31" i="1"/>
  <c r="R31" i="1"/>
  <c r="T31" i="1"/>
  <c r="U31" i="1"/>
  <c r="V31" i="1"/>
  <c r="X31" i="1"/>
  <c r="A32" i="1"/>
  <c r="R32" i="1" s="1"/>
  <c r="B32" i="1"/>
  <c r="C32" i="1"/>
  <c r="D32" i="1"/>
  <c r="E32" i="1"/>
  <c r="F32" i="1"/>
  <c r="G32" i="1"/>
  <c r="H32" i="1"/>
  <c r="I32" i="1"/>
  <c r="J32" i="1"/>
  <c r="K32" i="1"/>
  <c r="L32" i="1"/>
  <c r="M32" i="1"/>
  <c r="X32" i="1"/>
  <c r="A33" i="1"/>
  <c r="P33" i="1" s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Q33" i="1"/>
  <c r="R33" i="1"/>
  <c r="T33" i="1"/>
  <c r="V33" i="1"/>
  <c r="X33" i="1"/>
  <c r="A34" i="1"/>
  <c r="N34" i="1" s="1"/>
  <c r="B34" i="1"/>
  <c r="C34" i="1"/>
  <c r="D34" i="1"/>
  <c r="E34" i="1"/>
  <c r="F34" i="1"/>
  <c r="G34" i="1"/>
  <c r="H34" i="1"/>
  <c r="I34" i="1"/>
  <c r="J34" i="1"/>
  <c r="K34" i="1"/>
  <c r="L34" i="1"/>
  <c r="M34" i="1"/>
  <c r="P34" i="1"/>
  <c r="Q34" i="1"/>
  <c r="R34" i="1"/>
  <c r="U34" i="1"/>
  <c r="V34" i="1"/>
  <c r="X34" i="1"/>
  <c r="A35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P35" i="1"/>
  <c r="Q35" i="1"/>
  <c r="R35" i="1"/>
  <c r="T35" i="1"/>
  <c r="U35" i="1"/>
  <c r="V35" i="1"/>
  <c r="X35" i="1"/>
  <c r="A36" i="1"/>
  <c r="B36" i="1"/>
  <c r="C36" i="1"/>
  <c r="E36" i="1"/>
  <c r="G36" i="1"/>
  <c r="F36" i="1" s="1"/>
  <c r="H36" i="1"/>
  <c r="I36" i="1"/>
  <c r="J36" i="1"/>
  <c r="K36" i="1"/>
  <c r="L36" i="1"/>
  <c r="A37" i="1"/>
  <c r="M37" i="1" s="1"/>
  <c r="B37" i="1"/>
  <c r="C37" i="1"/>
  <c r="E37" i="1"/>
  <c r="G37" i="1"/>
  <c r="F37" i="1" s="1"/>
  <c r="H37" i="1"/>
  <c r="I37" i="1"/>
  <c r="J37" i="1"/>
  <c r="K37" i="1"/>
  <c r="L37" i="1"/>
  <c r="Q37" i="1"/>
  <c r="U37" i="1"/>
  <c r="A38" i="1"/>
  <c r="B38" i="1"/>
  <c r="C38" i="1"/>
  <c r="E38" i="1"/>
  <c r="G38" i="1"/>
  <c r="F38" i="1" s="1"/>
  <c r="H38" i="1"/>
  <c r="I38" i="1"/>
  <c r="J38" i="1"/>
  <c r="K38" i="1"/>
  <c r="L38" i="1"/>
  <c r="M38" i="1"/>
  <c r="U38" i="1"/>
  <c r="A39" i="1"/>
  <c r="B39" i="1"/>
  <c r="C39" i="1"/>
  <c r="E39" i="1"/>
  <c r="G39" i="1"/>
  <c r="F39" i="1" s="1"/>
  <c r="H39" i="1"/>
  <c r="I39" i="1"/>
  <c r="J39" i="1"/>
  <c r="K39" i="1"/>
  <c r="L39" i="1"/>
  <c r="M39" i="1"/>
  <c r="Q39" i="1"/>
  <c r="U39" i="1"/>
  <c r="A40" i="1"/>
  <c r="B40" i="1"/>
  <c r="C40" i="1"/>
  <c r="E40" i="1"/>
  <c r="G40" i="1"/>
  <c r="F40" i="1" s="1"/>
  <c r="H40" i="1"/>
  <c r="I40" i="1"/>
  <c r="J40" i="1"/>
  <c r="K40" i="1"/>
  <c r="L40" i="1"/>
  <c r="A41" i="1"/>
  <c r="M41" i="1" s="1"/>
  <c r="B41" i="1"/>
  <c r="C41" i="1"/>
  <c r="E41" i="1"/>
  <c r="G41" i="1"/>
  <c r="F41" i="1" s="1"/>
  <c r="H41" i="1"/>
  <c r="I41" i="1"/>
  <c r="J41" i="1"/>
  <c r="K41" i="1"/>
  <c r="L41" i="1"/>
  <c r="Q41" i="1"/>
  <c r="U41" i="1"/>
  <c r="A42" i="1"/>
  <c r="B42" i="1"/>
  <c r="C42" i="1"/>
  <c r="E42" i="1"/>
  <c r="G42" i="1"/>
  <c r="F42" i="1" s="1"/>
  <c r="H42" i="1"/>
  <c r="I42" i="1"/>
  <c r="J42" i="1"/>
  <c r="K42" i="1"/>
  <c r="L42" i="1"/>
  <c r="M42" i="1"/>
  <c r="U42" i="1"/>
  <c r="A43" i="1"/>
  <c r="B43" i="1"/>
  <c r="C43" i="1"/>
  <c r="E43" i="1"/>
  <c r="G43" i="1"/>
  <c r="F43" i="1" s="1"/>
  <c r="H43" i="1"/>
  <c r="I43" i="1"/>
  <c r="J43" i="1"/>
  <c r="K43" i="1"/>
  <c r="L43" i="1"/>
  <c r="M43" i="1"/>
  <c r="Q43" i="1"/>
  <c r="U43" i="1"/>
  <c r="A44" i="1"/>
  <c r="B44" i="1"/>
  <c r="C44" i="1"/>
  <c r="E44" i="1"/>
  <c r="G44" i="1"/>
  <c r="F44" i="1" s="1"/>
  <c r="H44" i="1"/>
  <c r="I44" i="1"/>
  <c r="J44" i="1"/>
  <c r="K44" i="1"/>
  <c r="L44" i="1"/>
  <c r="A45" i="1"/>
  <c r="M45" i="1" s="1"/>
  <c r="B45" i="1"/>
  <c r="C45" i="1"/>
  <c r="E45" i="1"/>
  <c r="G45" i="1"/>
  <c r="F45" i="1" s="1"/>
  <c r="H45" i="1"/>
  <c r="I45" i="1"/>
  <c r="J45" i="1"/>
  <c r="K45" i="1"/>
  <c r="L45" i="1"/>
  <c r="Q45" i="1"/>
  <c r="U45" i="1"/>
  <c r="A46" i="1"/>
  <c r="B46" i="1"/>
  <c r="C46" i="1"/>
  <c r="E46" i="1"/>
  <c r="G46" i="1"/>
  <c r="F46" i="1" s="1"/>
  <c r="H46" i="1"/>
  <c r="I46" i="1"/>
  <c r="J46" i="1"/>
  <c r="K46" i="1"/>
  <c r="L46" i="1"/>
  <c r="M46" i="1"/>
  <c r="U46" i="1"/>
  <c r="A47" i="1"/>
  <c r="B47" i="1"/>
  <c r="C47" i="1"/>
  <c r="E47" i="1"/>
  <c r="G47" i="1"/>
  <c r="F47" i="1" s="1"/>
  <c r="H47" i="1"/>
  <c r="I47" i="1"/>
  <c r="J47" i="1"/>
  <c r="K47" i="1"/>
  <c r="L47" i="1"/>
  <c r="M47" i="1"/>
  <c r="Q47" i="1"/>
  <c r="U47" i="1"/>
  <c r="A48" i="1"/>
  <c r="B48" i="1"/>
  <c r="C48" i="1"/>
  <c r="E48" i="1"/>
  <c r="G48" i="1"/>
  <c r="F48" i="1" s="1"/>
  <c r="H48" i="1"/>
  <c r="I48" i="1"/>
  <c r="J48" i="1"/>
  <c r="K48" i="1"/>
  <c r="L48" i="1"/>
  <c r="A49" i="1"/>
  <c r="M49" i="1" s="1"/>
  <c r="B49" i="1"/>
  <c r="C49" i="1"/>
  <c r="E49" i="1"/>
  <c r="G49" i="1"/>
  <c r="H49" i="1"/>
  <c r="I49" i="1"/>
  <c r="J49" i="1"/>
  <c r="K49" i="1"/>
  <c r="L49" i="1"/>
  <c r="O49" i="1"/>
  <c r="Q49" i="1"/>
  <c r="S49" i="1"/>
  <c r="W49" i="1"/>
  <c r="A50" i="1"/>
  <c r="M50" i="1" s="1"/>
  <c r="B50" i="1"/>
  <c r="C50" i="1"/>
  <c r="E50" i="1"/>
  <c r="G50" i="1"/>
  <c r="H50" i="1"/>
  <c r="I50" i="1"/>
  <c r="J50" i="1"/>
  <c r="K50" i="1"/>
  <c r="L50" i="1"/>
  <c r="O50" i="1"/>
  <c r="Q50" i="1"/>
  <c r="S50" i="1"/>
  <c r="W50" i="1"/>
  <c r="A51" i="1"/>
  <c r="M51" i="1" s="1"/>
  <c r="B51" i="1"/>
  <c r="C51" i="1"/>
  <c r="E51" i="1"/>
  <c r="G51" i="1"/>
  <c r="H51" i="1"/>
  <c r="I51" i="1"/>
  <c r="J51" i="1"/>
  <c r="K51" i="1"/>
  <c r="L51" i="1"/>
  <c r="O51" i="1"/>
  <c r="Q51" i="1"/>
  <c r="S51" i="1"/>
  <c r="W51" i="1"/>
  <c r="A52" i="1"/>
  <c r="M52" i="1" s="1"/>
  <c r="B52" i="1"/>
  <c r="C52" i="1"/>
  <c r="E52" i="1"/>
  <c r="G52" i="1"/>
  <c r="H52" i="1"/>
  <c r="I52" i="1"/>
  <c r="J52" i="1"/>
  <c r="K52" i="1"/>
  <c r="L52" i="1"/>
  <c r="O52" i="1"/>
  <c r="Q52" i="1"/>
  <c r="S52" i="1"/>
  <c r="W52" i="1"/>
  <c r="A53" i="1"/>
  <c r="M53" i="1" s="1"/>
  <c r="B53" i="1"/>
  <c r="C53" i="1"/>
  <c r="E53" i="1"/>
  <c r="G53" i="1"/>
  <c r="H53" i="1"/>
  <c r="I53" i="1"/>
  <c r="J53" i="1"/>
  <c r="K53" i="1"/>
  <c r="L53" i="1"/>
  <c r="O53" i="1"/>
  <c r="Q53" i="1"/>
  <c r="S53" i="1"/>
  <c r="W53" i="1"/>
  <c r="A54" i="1"/>
  <c r="M54" i="1" s="1"/>
  <c r="B54" i="1"/>
  <c r="C54" i="1"/>
  <c r="E54" i="1"/>
  <c r="G54" i="1"/>
  <c r="H54" i="1"/>
  <c r="I54" i="1"/>
  <c r="J54" i="1"/>
  <c r="K54" i="1"/>
  <c r="L54" i="1"/>
  <c r="N54" i="1"/>
  <c r="O54" i="1"/>
  <c r="Q54" i="1"/>
  <c r="S54" i="1"/>
  <c r="U54" i="1"/>
  <c r="V54" i="1"/>
  <c r="A55" i="1"/>
  <c r="N55" i="1" s="1"/>
  <c r="B55" i="1"/>
  <c r="C55" i="1"/>
  <c r="F55" i="1"/>
  <c r="G55" i="1"/>
  <c r="D55" i="1" s="1"/>
  <c r="H55" i="1"/>
  <c r="I55" i="1"/>
  <c r="J55" i="1"/>
  <c r="K55" i="1"/>
  <c r="L55" i="1"/>
  <c r="S55" i="1"/>
  <c r="A56" i="1"/>
  <c r="N56" i="1" s="1"/>
  <c r="B56" i="1"/>
  <c r="C56" i="1"/>
  <c r="F56" i="1"/>
  <c r="G56" i="1"/>
  <c r="D56" i="1" s="1"/>
  <c r="H56" i="1"/>
  <c r="I56" i="1"/>
  <c r="J56" i="1"/>
  <c r="K56" i="1"/>
  <c r="L56" i="1"/>
  <c r="R56" i="1"/>
  <c r="V56" i="1"/>
  <c r="A57" i="1"/>
  <c r="B57" i="1"/>
  <c r="C57" i="1"/>
  <c r="D57" i="1"/>
  <c r="F57" i="1"/>
  <c r="G57" i="1"/>
  <c r="E57" i="1" s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A58" i="1"/>
  <c r="B58" i="1"/>
  <c r="C58" i="1"/>
  <c r="D58" i="1"/>
  <c r="F58" i="1"/>
  <c r="G58" i="1"/>
  <c r="E58" i="1" s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A59" i="1"/>
  <c r="B59" i="1"/>
  <c r="C59" i="1"/>
  <c r="D59" i="1"/>
  <c r="F59" i="1"/>
  <c r="G59" i="1"/>
  <c r="E59" i="1" s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A60" i="1"/>
  <c r="B60" i="1"/>
  <c r="C60" i="1"/>
  <c r="D60" i="1"/>
  <c r="F60" i="1"/>
  <c r="G60" i="1"/>
  <c r="E60" i="1" s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A61" i="1"/>
  <c r="B61" i="1"/>
  <c r="C61" i="1"/>
  <c r="D61" i="1"/>
  <c r="F61" i="1"/>
  <c r="G61" i="1"/>
  <c r="E61" i="1" s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A62" i="1"/>
  <c r="B62" i="1"/>
  <c r="C62" i="1"/>
  <c r="D62" i="1"/>
  <c r="F62" i="1"/>
  <c r="G62" i="1"/>
  <c r="E62" i="1" s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A63" i="1"/>
  <c r="B63" i="1"/>
  <c r="C63" i="1"/>
  <c r="D63" i="1"/>
  <c r="F63" i="1"/>
  <c r="G63" i="1"/>
  <c r="E63" i="1" s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A64" i="1"/>
  <c r="B64" i="1"/>
  <c r="C64" i="1"/>
  <c r="D64" i="1"/>
  <c r="F64" i="1"/>
  <c r="G64" i="1"/>
  <c r="E64" i="1" s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A65" i="1"/>
  <c r="B65" i="1"/>
  <c r="C65" i="1"/>
  <c r="D65" i="1"/>
  <c r="F65" i="1"/>
  <c r="G65" i="1"/>
  <c r="E65" i="1" s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A66" i="1"/>
  <c r="B66" i="1"/>
  <c r="C66" i="1"/>
  <c r="D66" i="1"/>
  <c r="F66" i="1"/>
  <c r="G66" i="1"/>
  <c r="E66" i="1" s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A67" i="1"/>
  <c r="B67" i="1"/>
  <c r="C67" i="1"/>
  <c r="D67" i="1"/>
  <c r="F67" i="1"/>
  <c r="G67" i="1"/>
  <c r="E67" i="1" s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A68" i="1"/>
  <c r="B68" i="1"/>
  <c r="C68" i="1"/>
  <c r="D68" i="1"/>
  <c r="F68" i="1"/>
  <c r="G68" i="1"/>
  <c r="E68" i="1" s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A69" i="1"/>
  <c r="B69" i="1"/>
  <c r="C69" i="1"/>
  <c r="D69" i="1"/>
  <c r="F69" i="1"/>
  <c r="G69" i="1"/>
  <c r="E69" i="1" s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A70" i="1"/>
  <c r="B70" i="1"/>
  <c r="C70" i="1"/>
  <c r="D70" i="1"/>
  <c r="F70" i="1"/>
  <c r="G70" i="1"/>
  <c r="E70" i="1" s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A71" i="1"/>
  <c r="B71" i="1"/>
  <c r="C71" i="1"/>
  <c r="D71" i="1"/>
  <c r="F71" i="1"/>
  <c r="G71" i="1"/>
  <c r="E71" i="1" s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A72" i="1"/>
  <c r="B72" i="1"/>
  <c r="C72" i="1"/>
  <c r="D72" i="1"/>
  <c r="F72" i="1"/>
  <c r="G72" i="1"/>
  <c r="E72" i="1" s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A73" i="1"/>
  <c r="B73" i="1"/>
  <c r="C73" i="1"/>
  <c r="D73" i="1"/>
  <c r="F73" i="1"/>
  <c r="G73" i="1"/>
  <c r="E73" i="1" s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A74" i="1"/>
  <c r="B74" i="1"/>
  <c r="C74" i="1"/>
  <c r="D74" i="1"/>
  <c r="F74" i="1"/>
  <c r="G74" i="1"/>
  <c r="E74" i="1" s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A75" i="1"/>
  <c r="B75" i="1"/>
  <c r="C75" i="1"/>
  <c r="D75" i="1"/>
  <c r="F75" i="1"/>
  <c r="G75" i="1"/>
  <c r="E75" i="1" s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A76" i="1"/>
  <c r="B76" i="1"/>
  <c r="C76" i="1"/>
  <c r="D76" i="1"/>
  <c r="F76" i="1"/>
  <c r="G76" i="1"/>
  <c r="E76" i="1" s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A77" i="1"/>
  <c r="B77" i="1"/>
  <c r="C77" i="1"/>
  <c r="D77" i="1"/>
  <c r="F77" i="1"/>
  <c r="G77" i="1"/>
  <c r="E77" i="1" s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A78" i="1"/>
  <c r="B78" i="1"/>
  <c r="C78" i="1"/>
  <c r="D78" i="1"/>
  <c r="F78" i="1"/>
  <c r="G78" i="1"/>
  <c r="E78" i="1" s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A79" i="1"/>
  <c r="B79" i="1"/>
  <c r="C79" i="1"/>
  <c r="D79" i="1"/>
  <c r="F79" i="1"/>
  <c r="G79" i="1"/>
  <c r="E79" i="1" s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A80" i="1"/>
  <c r="B80" i="1"/>
  <c r="C80" i="1"/>
  <c r="D80" i="1"/>
  <c r="F80" i="1"/>
  <c r="G80" i="1"/>
  <c r="E80" i="1" s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A81" i="1"/>
  <c r="B81" i="1"/>
  <c r="C81" i="1"/>
  <c r="D81" i="1"/>
  <c r="F81" i="1"/>
  <c r="G81" i="1"/>
  <c r="E81" i="1" s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A82" i="1"/>
  <c r="B82" i="1"/>
  <c r="C82" i="1"/>
  <c r="D82" i="1"/>
  <c r="F82" i="1"/>
  <c r="G82" i="1"/>
  <c r="E82" i="1" s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A83" i="1"/>
  <c r="B83" i="1"/>
  <c r="C83" i="1"/>
  <c r="D83" i="1"/>
  <c r="F83" i="1"/>
  <c r="G83" i="1"/>
  <c r="E83" i="1" s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A84" i="1"/>
  <c r="B84" i="1"/>
  <c r="C84" i="1"/>
  <c r="D84" i="1"/>
  <c r="F84" i="1"/>
  <c r="G84" i="1"/>
  <c r="E84" i="1" s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A85" i="1"/>
  <c r="B85" i="1"/>
  <c r="C85" i="1"/>
  <c r="D85" i="1"/>
  <c r="F85" i="1"/>
  <c r="G85" i="1"/>
  <c r="E85" i="1" s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A86" i="1"/>
  <c r="B86" i="1"/>
  <c r="C86" i="1"/>
  <c r="D86" i="1"/>
  <c r="F86" i="1"/>
  <c r="G86" i="1"/>
  <c r="E86" i="1" s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A87" i="1"/>
  <c r="B87" i="1"/>
  <c r="C87" i="1"/>
  <c r="D87" i="1"/>
  <c r="F87" i="1"/>
  <c r="G87" i="1"/>
  <c r="E87" i="1" s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A88" i="1"/>
  <c r="B88" i="1"/>
  <c r="C88" i="1"/>
  <c r="D88" i="1"/>
  <c r="F88" i="1"/>
  <c r="G88" i="1"/>
  <c r="E88" i="1" s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A89" i="1"/>
  <c r="B89" i="1"/>
  <c r="C89" i="1"/>
  <c r="D89" i="1"/>
  <c r="F89" i="1"/>
  <c r="G89" i="1"/>
  <c r="E89" i="1" s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A90" i="1"/>
  <c r="B90" i="1"/>
  <c r="C90" i="1"/>
  <c r="D90" i="1"/>
  <c r="F90" i="1"/>
  <c r="G90" i="1"/>
  <c r="E90" i="1" s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A91" i="1"/>
  <c r="B91" i="1"/>
  <c r="C91" i="1"/>
  <c r="D91" i="1"/>
  <c r="F91" i="1"/>
  <c r="G91" i="1"/>
  <c r="E91" i="1" s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A92" i="1"/>
  <c r="B92" i="1"/>
  <c r="C92" i="1"/>
  <c r="D92" i="1"/>
  <c r="F92" i="1"/>
  <c r="G92" i="1"/>
  <c r="E92" i="1" s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A93" i="1"/>
  <c r="B93" i="1"/>
  <c r="C93" i="1"/>
  <c r="D93" i="1"/>
  <c r="F93" i="1"/>
  <c r="G93" i="1"/>
  <c r="E93" i="1" s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A94" i="1"/>
  <c r="B94" i="1"/>
  <c r="C94" i="1"/>
  <c r="D94" i="1"/>
  <c r="F94" i="1"/>
  <c r="G94" i="1"/>
  <c r="E94" i="1" s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A95" i="1"/>
  <c r="B95" i="1"/>
  <c r="C95" i="1"/>
  <c r="D95" i="1"/>
  <c r="F95" i="1"/>
  <c r="G95" i="1"/>
  <c r="E95" i="1" s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A96" i="1"/>
  <c r="B96" i="1"/>
  <c r="C96" i="1"/>
  <c r="D96" i="1"/>
  <c r="F96" i="1"/>
  <c r="G96" i="1"/>
  <c r="E96" i="1" s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A97" i="1"/>
  <c r="B97" i="1"/>
  <c r="C97" i="1"/>
  <c r="D97" i="1"/>
  <c r="F97" i="1"/>
  <c r="G97" i="1"/>
  <c r="E97" i="1" s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A98" i="1"/>
  <c r="B98" i="1"/>
  <c r="C98" i="1"/>
  <c r="D98" i="1"/>
  <c r="F98" i="1"/>
  <c r="G98" i="1"/>
  <c r="E98" i="1" s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A99" i="1"/>
  <c r="B99" i="1"/>
  <c r="C99" i="1"/>
  <c r="D99" i="1"/>
  <c r="F99" i="1"/>
  <c r="G99" i="1"/>
  <c r="E99" i="1" s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A100" i="1"/>
  <c r="B100" i="1"/>
  <c r="C100" i="1"/>
  <c r="D100" i="1"/>
  <c r="F100" i="1"/>
  <c r="G100" i="1"/>
  <c r="E100" i="1" s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A101" i="1"/>
  <c r="B101" i="1"/>
  <c r="C101" i="1"/>
  <c r="D101" i="1"/>
  <c r="F101" i="1"/>
  <c r="G101" i="1"/>
  <c r="E101" i="1" s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A102" i="1"/>
  <c r="B102" i="1"/>
  <c r="C102" i="1"/>
  <c r="D102" i="1"/>
  <c r="F102" i="1"/>
  <c r="G102" i="1"/>
  <c r="E102" i="1" s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A103" i="1"/>
  <c r="B103" i="1"/>
  <c r="C103" i="1"/>
  <c r="D103" i="1"/>
  <c r="F103" i="1"/>
  <c r="G103" i="1"/>
  <c r="E103" i="1" s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A104" i="1"/>
  <c r="B104" i="1"/>
  <c r="C104" i="1"/>
  <c r="D104" i="1"/>
  <c r="F104" i="1"/>
  <c r="G104" i="1"/>
  <c r="E104" i="1" s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A105" i="1"/>
  <c r="B105" i="1"/>
  <c r="C105" i="1"/>
  <c r="D105" i="1"/>
  <c r="F105" i="1"/>
  <c r="G105" i="1"/>
  <c r="E105" i="1" s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A106" i="1"/>
  <c r="B106" i="1"/>
  <c r="C106" i="1"/>
  <c r="D106" i="1"/>
  <c r="F106" i="1"/>
  <c r="G106" i="1"/>
  <c r="E106" i="1" s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A107" i="1"/>
  <c r="B107" i="1"/>
  <c r="C107" i="1"/>
  <c r="D107" i="1"/>
  <c r="F107" i="1"/>
  <c r="G107" i="1"/>
  <c r="E107" i="1" s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A108" i="1"/>
  <c r="B108" i="1"/>
  <c r="C108" i="1"/>
  <c r="D108" i="1"/>
  <c r="F108" i="1"/>
  <c r="G108" i="1"/>
  <c r="E108" i="1" s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A109" i="1"/>
  <c r="B109" i="1"/>
  <c r="C109" i="1"/>
  <c r="D109" i="1"/>
  <c r="F109" i="1"/>
  <c r="G109" i="1"/>
  <c r="E109" i="1" s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A110" i="1"/>
  <c r="B110" i="1"/>
  <c r="C110" i="1"/>
  <c r="D110" i="1"/>
  <c r="F110" i="1"/>
  <c r="G110" i="1"/>
  <c r="E110" i="1" s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A111" i="1"/>
  <c r="B111" i="1"/>
  <c r="C111" i="1"/>
  <c r="D111" i="1"/>
  <c r="F111" i="1"/>
  <c r="G111" i="1"/>
  <c r="E111" i="1" s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A112" i="1"/>
  <c r="B112" i="1"/>
  <c r="C112" i="1"/>
  <c r="D112" i="1"/>
  <c r="F112" i="1"/>
  <c r="G112" i="1"/>
  <c r="E112" i="1" s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A113" i="1"/>
  <c r="B113" i="1"/>
  <c r="C113" i="1"/>
  <c r="D113" i="1"/>
  <c r="F113" i="1"/>
  <c r="G113" i="1"/>
  <c r="E113" i="1" s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A114" i="1"/>
  <c r="B114" i="1"/>
  <c r="C114" i="1"/>
  <c r="D114" i="1"/>
  <c r="F114" i="1"/>
  <c r="G114" i="1"/>
  <c r="E114" i="1" s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A115" i="1"/>
  <c r="B115" i="1"/>
  <c r="C115" i="1"/>
  <c r="D115" i="1"/>
  <c r="F115" i="1"/>
  <c r="G115" i="1"/>
  <c r="E115" i="1" s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A116" i="1"/>
  <c r="B116" i="1"/>
  <c r="C116" i="1"/>
  <c r="D116" i="1"/>
  <c r="F116" i="1"/>
  <c r="G116" i="1"/>
  <c r="E116" i="1" s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A117" i="1"/>
  <c r="B117" i="1"/>
  <c r="C117" i="1"/>
  <c r="D117" i="1"/>
  <c r="F117" i="1"/>
  <c r="G117" i="1"/>
  <c r="E117" i="1" s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A118" i="1"/>
  <c r="B118" i="1"/>
  <c r="C118" i="1"/>
  <c r="D118" i="1"/>
  <c r="F118" i="1"/>
  <c r="G118" i="1"/>
  <c r="E118" i="1" s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A119" i="1"/>
  <c r="B119" i="1"/>
  <c r="C119" i="1"/>
  <c r="D119" i="1"/>
  <c r="F119" i="1"/>
  <c r="G119" i="1"/>
  <c r="E119" i="1" s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A120" i="1"/>
  <c r="B120" i="1"/>
  <c r="C120" i="1"/>
  <c r="D120" i="1"/>
  <c r="F120" i="1"/>
  <c r="G120" i="1"/>
  <c r="E120" i="1" s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A121" i="1"/>
  <c r="B121" i="1"/>
  <c r="C121" i="1"/>
  <c r="D121" i="1"/>
  <c r="F121" i="1"/>
  <c r="G121" i="1"/>
  <c r="E121" i="1" s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A122" i="1"/>
  <c r="B122" i="1"/>
  <c r="C122" i="1"/>
  <c r="D122" i="1"/>
  <c r="F122" i="1"/>
  <c r="G122" i="1"/>
  <c r="E122" i="1" s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A123" i="1"/>
  <c r="B123" i="1"/>
  <c r="C123" i="1"/>
  <c r="D123" i="1"/>
  <c r="F123" i="1"/>
  <c r="G123" i="1"/>
  <c r="E123" i="1" s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A124" i="1"/>
  <c r="B124" i="1"/>
  <c r="C124" i="1"/>
  <c r="D124" i="1"/>
  <c r="F124" i="1"/>
  <c r="G124" i="1"/>
  <c r="E124" i="1" s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A125" i="1"/>
  <c r="B125" i="1"/>
  <c r="C125" i="1"/>
  <c r="D125" i="1"/>
  <c r="F125" i="1"/>
  <c r="G125" i="1"/>
  <c r="E125" i="1" s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A126" i="1"/>
  <c r="B126" i="1"/>
  <c r="C126" i="1"/>
  <c r="D126" i="1"/>
  <c r="F126" i="1"/>
  <c r="G126" i="1"/>
  <c r="E126" i="1" s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A127" i="1"/>
  <c r="B127" i="1"/>
  <c r="C127" i="1"/>
  <c r="D127" i="1"/>
  <c r="F127" i="1"/>
  <c r="G127" i="1"/>
  <c r="E127" i="1" s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A128" i="1"/>
  <c r="B128" i="1"/>
  <c r="C128" i="1"/>
  <c r="D128" i="1"/>
  <c r="F128" i="1"/>
  <c r="G128" i="1"/>
  <c r="E128" i="1" s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A129" i="1"/>
  <c r="B129" i="1"/>
  <c r="C129" i="1"/>
  <c r="D129" i="1"/>
  <c r="F129" i="1"/>
  <c r="G129" i="1"/>
  <c r="E129" i="1" s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A130" i="1"/>
  <c r="B130" i="1"/>
  <c r="C130" i="1"/>
  <c r="D130" i="1"/>
  <c r="F130" i="1"/>
  <c r="G130" i="1"/>
  <c r="E130" i="1" s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A131" i="1"/>
  <c r="B131" i="1"/>
  <c r="C131" i="1"/>
  <c r="D131" i="1"/>
  <c r="F131" i="1"/>
  <c r="G131" i="1"/>
  <c r="E131" i="1" s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A132" i="1"/>
  <c r="B132" i="1"/>
  <c r="C132" i="1"/>
  <c r="D132" i="1"/>
  <c r="F132" i="1"/>
  <c r="G132" i="1"/>
  <c r="E132" i="1" s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A133" i="1"/>
  <c r="B133" i="1"/>
  <c r="C133" i="1"/>
  <c r="D133" i="1"/>
  <c r="F133" i="1"/>
  <c r="G133" i="1"/>
  <c r="E133" i="1" s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A134" i="1"/>
  <c r="B134" i="1"/>
  <c r="C134" i="1"/>
  <c r="D134" i="1"/>
  <c r="F134" i="1"/>
  <c r="G134" i="1"/>
  <c r="E134" i="1" s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A135" i="1"/>
  <c r="B135" i="1"/>
  <c r="C135" i="1"/>
  <c r="D135" i="1"/>
  <c r="F135" i="1"/>
  <c r="G135" i="1"/>
  <c r="E135" i="1" s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A136" i="1"/>
  <c r="B136" i="1"/>
  <c r="C136" i="1"/>
  <c r="D136" i="1"/>
  <c r="F136" i="1"/>
  <c r="G136" i="1"/>
  <c r="E136" i="1" s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A137" i="1"/>
  <c r="B137" i="1"/>
  <c r="C137" i="1"/>
  <c r="D137" i="1"/>
  <c r="F137" i="1"/>
  <c r="G137" i="1"/>
  <c r="E137" i="1" s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A138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A139" i="1"/>
  <c r="O139" i="1" s="1"/>
  <c r="B13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P139" i="1"/>
  <c r="Q139" i="1"/>
  <c r="R139" i="1"/>
  <c r="T139" i="1"/>
  <c r="U139" i="1"/>
  <c r="V139" i="1"/>
  <c r="W139" i="1"/>
  <c r="X139" i="1"/>
  <c r="A140" i="1"/>
  <c r="O140" i="1" s="1"/>
  <c r="B140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P140" i="1"/>
  <c r="Q140" i="1"/>
  <c r="R140" i="1"/>
  <c r="T140" i="1"/>
  <c r="U140" i="1"/>
  <c r="V140" i="1"/>
  <c r="X140" i="1"/>
  <c r="A141" i="1"/>
  <c r="O141" i="1" s="1"/>
  <c r="B14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P141" i="1"/>
  <c r="Q141" i="1"/>
  <c r="R141" i="1"/>
  <c r="T141" i="1"/>
  <c r="U141" i="1"/>
  <c r="V141" i="1"/>
  <c r="X141" i="1"/>
  <c r="A142" i="1"/>
  <c r="O142" i="1" s="1"/>
  <c r="B142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P142" i="1"/>
  <c r="Q142" i="1"/>
  <c r="R142" i="1"/>
  <c r="T142" i="1"/>
  <c r="U142" i="1"/>
  <c r="V142" i="1"/>
  <c r="X142" i="1"/>
  <c r="A143" i="1"/>
  <c r="O143" i="1" s="1"/>
  <c r="B143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P143" i="1"/>
  <c r="Q143" i="1"/>
  <c r="R143" i="1"/>
  <c r="T143" i="1"/>
  <c r="U143" i="1"/>
  <c r="V143" i="1"/>
  <c r="X143" i="1"/>
  <c r="A144" i="1"/>
  <c r="O144" i="1" s="1"/>
  <c r="B144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P144" i="1"/>
  <c r="Q144" i="1"/>
  <c r="R144" i="1"/>
  <c r="T144" i="1"/>
  <c r="U144" i="1"/>
  <c r="V144" i="1"/>
  <c r="X144" i="1"/>
  <c r="A145" i="1"/>
  <c r="O145" i="1" s="1"/>
  <c r="B145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P145" i="1"/>
  <c r="Q145" i="1"/>
  <c r="R145" i="1"/>
  <c r="T145" i="1"/>
  <c r="U145" i="1"/>
  <c r="V145" i="1"/>
  <c r="X145" i="1"/>
  <c r="A146" i="1"/>
  <c r="O146" i="1" s="1"/>
  <c r="B146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P146" i="1"/>
  <c r="Q146" i="1"/>
  <c r="R146" i="1"/>
  <c r="T146" i="1"/>
  <c r="U146" i="1"/>
  <c r="V146" i="1"/>
  <c r="X146" i="1"/>
  <c r="A147" i="1"/>
  <c r="O147" i="1" s="1"/>
  <c r="B147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P147" i="1"/>
  <c r="Q147" i="1"/>
  <c r="R147" i="1"/>
  <c r="T147" i="1"/>
  <c r="U147" i="1"/>
  <c r="V147" i="1"/>
  <c r="X147" i="1"/>
  <c r="A148" i="1"/>
  <c r="O148" i="1" s="1"/>
  <c r="B148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P148" i="1"/>
  <c r="Q148" i="1"/>
  <c r="R148" i="1"/>
  <c r="T148" i="1"/>
  <c r="U148" i="1"/>
  <c r="V148" i="1"/>
  <c r="X148" i="1"/>
  <c r="A149" i="1"/>
  <c r="O149" i="1" s="1"/>
  <c r="B149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P149" i="1"/>
  <c r="Q149" i="1"/>
  <c r="R149" i="1"/>
  <c r="T149" i="1"/>
  <c r="U149" i="1"/>
  <c r="V149" i="1"/>
  <c r="X149" i="1"/>
  <c r="A150" i="1"/>
  <c r="O150" i="1" s="1"/>
  <c r="B150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P150" i="1"/>
  <c r="Q150" i="1"/>
  <c r="R150" i="1"/>
  <c r="T150" i="1"/>
  <c r="U150" i="1"/>
  <c r="V150" i="1"/>
  <c r="X150" i="1"/>
  <c r="A151" i="1"/>
  <c r="O151" i="1" s="1"/>
  <c r="B151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P151" i="1"/>
  <c r="Q151" i="1"/>
  <c r="R151" i="1"/>
  <c r="T151" i="1"/>
  <c r="U151" i="1"/>
  <c r="V151" i="1"/>
  <c r="X151" i="1"/>
  <c r="A152" i="1"/>
  <c r="O152" i="1" s="1"/>
  <c r="B152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P152" i="1"/>
  <c r="Q152" i="1"/>
  <c r="R152" i="1"/>
  <c r="T152" i="1"/>
  <c r="U152" i="1"/>
  <c r="V152" i="1"/>
  <c r="X152" i="1"/>
  <c r="A153" i="1"/>
  <c r="O153" i="1" s="1"/>
  <c r="B153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P153" i="1"/>
  <c r="Q153" i="1"/>
  <c r="R153" i="1"/>
  <c r="T153" i="1"/>
  <c r="U153" i="1"/>
  <c r="V153" i="1"/>
  <c r="X153" i="1"/>
  <c r="A154" i="1"/>
  <c r="O154" i="1" s="1"/>
  <c r="B154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P154" i="1"/>
  <c r="Q154" i="1"/>
  <c r="R154" i="1"/>
  <c r="T154" i="1"/>
  <c r="U154" i="1"/>
  <c r="V154" i="1"/>
  <c r="X154" i="1"/>
  <c r="A155" i="1"/>
  <c r="O155" i="1" s="1"/>
  <c r="B155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P155" i="1"/>
  <c r="Q155" i="1"/>
  <c r="R155" i="1"/>
  <c r="T155" i="1"/>
  <c r="U155" i="1"/>
  <c r="V155" i="1"/>
  <c r="X155" i="1"/>
  <c r="A156" i="1"/>
  <c r="O156" i="1" s="1"/>
  <c r="B156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P156" i="1"/>
  <c r="Q156" i="1"/>
  <c r="R156" i="1"/>
  <c r="T156" i="1"/>
  <c r="U156" i="1"/>
  <c r="V156" i="1"/>
  <c r="X156" i="1"/>
  <c r="A157" i="1"/>
  <c r="O157" i="1" s="1"/>
  <c r="B157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P157" i="1"/>
  <c r="Q157" i="1"/>
  <c r="R157" i="1"/>
  <c r="T157" i="1"/>
  <c r="U157" i="1"/>
  <c r="V157" i="1"/>
  <c r="X157" i="1"/>
  <c r="A158" i="1"/>
  <c r="O158" i="1" s="1"/>
  <c r="B158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P158" i="1"/>
  <c r="Q158" i="1"/>
  <c r="R158" i="1"/>
  <c r="T158" i="1"/>
  <c r="U158" i="1"/>
  <c r="V158" i="1"/>
  <c r="X158" i="1"/>
  <c r="A159" i="1"/>
  <c r="O159" i="1" s="1"/>
  <c r="B159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P159" i="1"/>
  <c r="Q159" i="1"/>
  <c r="R159" i="1"/>
  <c r="T159" i="1"/>
  <c r="U159" i="1"/>
  <c r="V159" i="1"/>
  <c r="X159" i="1"/>
  <c r="A160" i="1"/>
  <c r="B160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P160" i="1"/>
  <c r="Q160" i="1"/>
  <c r="R160" i="1"/>
  <c r="T160" i="1"/>
  <c r="U160" i="1"/>
  <c r="V160" i="1"/>
  <c r="X160" i="1"/>
  <c r="A161" i="1"/>
  <c r="R161" i="1" s="1"/>
  <c r="B161" i="1"/>
  <c r="C161" i="1"/>
  <c r="D161" i="1"/>
  <c r="E161" i="1"/>
  <c r="F161" i="1"/>
  <c r="G161" i="1"/>
  <c r="H161" i="1"/>
  <c r="I161" i="1"/>
  <c r="J161" i="1"/>
  <c r="K161" i="1"/>
  <c r="L161" i="1"/>
  <c r="M161" i="1"/>
  <c r="X161" i="1"/>
  <c r="A162" i="1"/>
  <c r="N162" i="1" s="1"/>
  <c r="B162" i="1"/>
  <c r="C162" i="1"/>
  <c r="D162" i="1"/>
  <c r="E162" i="1"/>
  <c r="F162" i="1"/>
  <c r="G162" i="1"/>
  <c r="H162" i="1"/>
  <c r="I162" i="1"/>
  <c r="J162" i="1"/>
  <c r="K162" i="1"/>
  <c r="L162" i="1"/>
  <c r="M162" i="1"/>
  <c r="Q162" i="1"/>
  <c r="R162" i="1"/>
  <c r="V162" i="1"/>
  <c r="X162" i="1"/>
  <c r="A163" i="1"/>
  <c r="N163" i="1" s="1"/>
  <c r="B163" i="1"/>
  <c r="C163" i="1"/>
  <c r="D163" i="1"/>
  <c r="E163" i="1"/>
  <c r="F163" i="1"/>
  <c r="G163" i="1"/>
  <c r="H163" i="1"/>
  <c r="I163" i="1"/>
  <c r="J163" i="1"/>
  <c r="K163" i="1"/>
  <c r="L163" i="1"/>
  <c r="M163" i="1"/>
  <c r="P163" i="1"/>
  <c r="Q163" i="1"/>
  <c r="R163" i="1"/>
  <c r="U163" i="1"/>
  <c r="V163" i="1"/>
  <c r="X163" i="1"/>
  <c r="A164" i="1"/>
  <c r="B164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P164" i="1"/>
  <c r="Q164" i="1"/>
  <c r="R164" i="1"/>
  <c r="T164" i="1"/>
  <c r="U164" i="1"/>
  <c r="V164" i="1"/>
  <c r="X164" i="1"/>
  <c r="A165" i="1"/>
  <c r="R165" i="1" s="1"/>
  <c r="B165" i="1"/>
  <c r="C165" i="1"/>
  <c r="D165" i="1"/>
  <c r="E165" i="1"/>
  <c r="F165" i="1"/>
  <c r="G165" i="1"/>
  <c r="H165" i="1"/>
  <c r="I165" i="1"/>
  <c r="J165" i="1"/>
  <c r="K165" i="1"/>
  <c r="L165" i="1"/>
  <c r="M165" i="1"/>
  <c r="X165" i="1"/>
  <c r="A166" i="1"/>
  <c r="N166" i="1" s="1"/>
  <c r="B166" i="1"/>
  <c r="C166" i="1"/>
  <c r="D166" i="1"/>
  <c r="E166" i="1"/>
  <c r="F166" i="1"/>
  <c r="G166" i="1"/>
  <c r="H166" i="1"/>
  <c r="I166" i="1"/>
  <c r="J166" i="1"/>
  <c r="K166" i="1"/>
  <c r="L166" i="1"/>
  <c r="M166" i="1"/>
  <c r="Q166" i="1"/>
  <c r="R166" i="1"/>
  <c r="V166" i="1"/>
  <c r="X166" i="1"/>
  <c r="A167" i="1"/>
  <c r="N167" i="1" s="1"/>
  <c r="B167" i="1"/>
  <c r="C167" i="1"/>
  <c r="D167" i="1"/>
  <c r="E167" i="1"/>
  <c r="F167" i="1"/>
  <c r="G167" i="1"/>
  <c r="H167" i="1"/>
  <c r="I167" i="1"/>
  <c r="J167" i="1"/>
  <c r="K167" i="1"/>
  <c r="L167" i="1"/>
  <c r="M167" i="1"/>
  <c r="P167" i="1"/>
  <c r="Q167" i="1"/>
  <c r="R167" i="1"/>
  <c r="U167" i="1"/>
  <c r="V167" i="1"/>
  <c r="X167" i="1"/>
  <c r="A168" i="1"/>
  <c r="B168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P168" i="1"/>
  <c r="Q168" i="1"/>
  <c r="R168" i="1"/>
  <c r="T168" i="1"/>
  <c r="U168" i="1"/>
  <c r="V168" i="1"/>
  <c r="X168" i="1"/>
  <c r="A169" i="1"/>
  <c r="R169" i="1" s="1"/>
  <c r="B169" i="1"/>
  <c r="C169" i="1"/>
  <c r="D169" i="1"/>
  <c r="E169" i="1"/>
  <c r="F169" i="1"/>
  <c r="G169" i="1"/>
  <c r="H169" i="1"/>
  <c r="I169" i="1"/>
  <c r="J169" i="1"/>
  <c r="K169" i="1"/>
  <c r="L169" i="1"/>
  <c r="M169" i="1"/>
  <c r="X169" i="1"/>
  <c r="A170" i="1"/>
  <c r="N170" i="1" s="1"/>
  <c r="B170" i="1"/>
  <c r="C170" i="1"/>
  <c r="D170" i="1"/>
  <c r="E170" i="1"/>
  <c r="F170" i="1"/>
  <c r="G170" i="1"/>
  <c r="H170" i="1"/>
  <c r="I170" i="1"/>
  <c r="J170" i="1"/>
  <c r="K170" i="1"/>
  <c r="L170" i="1"/>
  <c r="M170" i="1"/>
  <c r="Q170" i="1"/>
  <c r="R170" i="1"/>
  <c r="V170" i="1"/>
  <c r="X170" i="1"/>
  <c r="A171" i="1"/>
  <c r="N171" i="1" s="1"/>
  <c r="B171" i="1"/>
  <c r="C171" i="1"/>
  <c r="D171" i="1"/>
  <c r="E171" i="1"/>
  <c r="F171" i="1"/>
  <c r="G171" i="1"/>
  <c r="H171" i="1"/>
  <c r="I171" i="1"/>
  <c r="J171" i="1"/>
  <c r="K171" i="1"/>
  <c r="L171" i="1"/>
  <c r="M171" i="1"/>
  <c r="P171" i="1"/>
  <c r="Q171" i="1"/>
  <c r="R171" i="1"/>
  <c r="U171" i="1"/>
  <c r="V171" i="1"/>
  <c r="X171" i="1"/>
  <c r="A172" i="1"/>
  <c r="B172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P172" i="1"/>
  <c r="Q172" i="1"/>
  <c r="R172" i="1"/>
  <c r="T172" i="1"/>
  <c r="U172" i="1"/>
  <c r="V172" i="1"/>
  <c r="X172" i="1"/>
  <c r="A173" i="1"/>
  <c r="R173" i="1" s="1"/>
  <c r="B173" i="1"/>
  <c r="C173" i="1"/>
  <c r="D173" i="1"/>
  <c r="E173" i="1"/>
  <c r="F173" i="1"/>
  <c r="G173" i="1"/>
  <c r="H173" i="1"/>
  <c r="I173" i="1"/>
  <c r="J173" i="1"/>
  <c r="K173" i="1"/>
  <c r="L173" i="1"/>
  <c r="M173" i="1"/>
  <c r="X173" i="1"/>
  <c r="A174" i="1"/>
  <c r="N174" i="1" s="1"/>
  <c r="B174" i="1"/>
  <c r="C174" i="1"/>
  <c r="D174" i="1"/>
  <c r="E174" i="1"/>
  <c r="F174" i="1"/>
  <c r="G174" i="1"/>
  <c r="H174" i="1"/>
  <c r="I174" i="1"/>
  <c r="J174" i="1"/>
  <c r="K174" i="1"/>
  <c r="L174" i="1"/>
  <c r="M174" i="1"/>
  <c r="Q174" i="1"/>
  <c r="R174" i="1"/>
  <c r="V174" i="1"/>
  <c r="X174" i="1"/>
  <c r="A175" i="1"/>
  <c r="N175" i="1" s="1"/>
  <c r="B175" i="1"/>
  <c r="C175" i="1"/>
  <c r="D175" i="1"/>
  <c r="E175" i="1"/>
  <c r="F175" i="1"/>
  <c r="G175" i="1"/>
  <c r="H175" i="1"/>
  <c r="I175" i="1"/>
  <c r="J175" i="1"/>
  <c r="K175" i="1"/>
  <c r="L175" i="1"/>
  <c r="M175" i="1"/>
  <c r="P175" i="1"/>
  <c r="Q175" i="1"/>
  <c r="R175" i="1"/>
  <c r="U175" i="1"/>
  <c r="V175" i="1"/>
  <c r="X175" i="1"/>
  <c r="A176" i="1"/>
  <c r="B176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P176" i="1"/>
  <c r="Q176" i="1"/>
  <c r="R176" i="1"/>
  <c r="T176" i="1"/>
  <c r="U176" i="1"/>
  <c r="V176" i="1"/>
  <c r="X176" i="1"/>
  <c r="A177" i="1"/>
  <c r="R177" i="1" s="1"/>
  <c r="B177" i="1"/>
  <c r="C177" i="1"/>
  <c r="D177" i="1"/>
  <c r="E177" i="1"/>
  <c r="F177" i="1"/>
  <c r="G177" i="1"/>
  <c r="H177" i="1"/>
  <c r="I177" i="1"/>
  <c r="J177" i="1"/>
  <c r="K177" i="1"/>
  <c r="L177" i="1"/>
  <c r="M177" i="1"/>
  <c r="X177" i="1"/>
  <c r="A178" i="1"/>
  <c r="N178" i="1" s="1"/>
  <c r="B178" i="1"/>
  <c r="C178" i="1"/>
  <c r="D178" i="1"/>
  <c r="E178" i="1"/>
  <c r="F178" i="1"/>
  <c r="G178" i="1"/>
  <c r="H178" i="1"/>
  <c r="I178" i="1"/>
  <c r="J178" i="1"/>
  <c r="K178" i="1"/>
  <c r="L178" i="1"/>
  <c r="M178" i="1"/>
  <c r="Q178" i="1"/>
  <c r="R178" i="1"/>
  <c r="V178" i="1"/>
  <c r="X178" i="1"/>
  <c r="A179" i="1"/>
  <c r="N179" i="1" s="1"/>
  <c r="B179" i="1"/>
  <c r="C179" i="1"/>
  <c r="D179" i="1"/>
  <c r="E179" i="1"/>
  <c r="F179" i="1"/>
  <c r="G179" i="1"/>
  <c r="H179" i="1"/>
  <c r="I179" i="1"/>
  <c r="J179" i="1"/>
  <c r="K179" i="1"/>
  <c r="L179" i="1"/>
  <c r="M179" i="1"/>
  <c r="P179" i="1"/>
  <c r="Q179" i="1"/>
  <c r="R179" i="1"/>
  <c r="U179" i="1"/>
  <c r="V179" i="1"/>
  <c r="X179" i="1"/>
  <c r="A180" i="1"/>
  <c r="B180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P180" i="1"/>
  <c r="Q180" i="1"/>
  <c r="R180" i="1"/>
  <c r="T180" i="1"/>
  <c r="U180" i="1"/>
  <c r="V180" i="1"/>
  <c r="X180" i="1"/>
  <c r="A181" i="1"/>
  <c r="R181" i="1" s="1"/>
  <c r="B181" i="1"/>
  <c r="C181" i="1"/>
  <c r="D181" i="1"/>
  <c r="E181" i="1"/>
  <c r="F181" i="1"/>
  <c r="G181" i="1"/>
  <c r="H181" i="1"/>
  <c r="I181" i="1"/>
  <c r="J181" i="1"/>
  <c r="K181" i="1"/>
  <c r="L181" i="1"/>
  <c r="M181" i="1"/>
  <c r="X181" i="1"/>
  <c r="A182" i="1"/>
  <c r="N182" i="1" s="1"/>
  <c r="B182" i="1"/>
  <c r="C182" i="1"/>
  <c r="D182" i="1"/>
  <c r="E182" i="1"/>
  <c r="F182" i="1"/>
  <c r="G182" i="1"/>
  <c r="H182" i="1"/>
  <c r="I182" i="1"/>
  <c r="J182" i="1"/>
  <c r="K182" i="1"/>
  <c r="L182" i="1"/>
  <c r="M182" i="1"/>
  <c r="Q182" i="1"/>
  <c r="R182" i="1"/>
  <c r="V182" i="1"/>
  <c r="X182" i="1"/>
  <c r="A183" i="1"/>
  <c r="N183" i="1" s="1"/>
  <c r="B183" i="1"/>
  <c r="C183" i="1"/>
  <c r="D183" i="1"/>
  <c r="E183" i="1"/>
  <c r="F183" i="1"/>
  <c r="G183" i="1"/>
  <c r="H183" i="1"/>
  <c r="I183" i="1"/>
  <c r="J183" i="1"/>
  <c r="K183" i="1"/>
  <c r="L183" i="1"/>
  <c r="M183" i="1"/>
  <c r="P183" i="1"/>
  <c r="Q183" i="1"/>
  <c r="R183" i="1"/>
  <c r="U183" i="1"/>
  <c r="V183" i="1"/>
  <c r="X183" i="1"/>
  <c r="A184" i="1"/>
  <c r="B184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P184" i="1"/>
  <c r="Q184" i="1"/>
  <c r="R184" i="1"/>
  <c r="T184" i="1"/>
  <c r="U184" i="1"/>
  <c r="V184" i="1"/>
  <c r="X184" i="1"/>
  <c r="A185" i="1"/>
  <c r="R185" i="1" s="1"/>
  <c r="B185" i="1"/>
  <c r="C185" i="1"/>
  <c r="D185" i="1"/>
  <c r="E185" i="1"/>
  <c r="F185" i="1"/>
  <c r="G185" i="1"/>
  <c r="H185" i="1"/>
  <c r="I185" i="1"/>
  <c r="J185" i="1"/>
  <c r="K185" i="1"/>
  <c r="L185" i="1"/>
  <c r="M185" i="1"/>
  <c r="X185" i="1"/>
  <c r="A186" i="1"/>
  <c r="N186" i="1" s="1"/>
  <c r="B186" i="1"/>
  <c r="C186" i="1"/>
  <c r="D186" i="1"/>
  <c r="E186" i="1"/>
  <c r="F186" i="1"/>
  <c r="G186" i="1"/>
  <c r="H186" i="1"/>
  <c r="I186" i="1"/>
  <c r="J186" i="1"/>
  <c r="K186" i="1"/>
  <c r="L186" i="1"/>
  <c r="M186" i="1"/>
  <c r="Q186" i="1"/>
  <c r="R186" i="1"/>
  <c r="V186" i="1"/>
  <c r="X186" i="1"/>
  <c r="A187" i="1"/>
  <c r="N187" i="1" s="1"/>
  <c r="B187" i="1"/>
  <c r="C187" i="1"/>
  <c r="D187" i="1"/>
  <c r="E187" i="1"/>
  <c r="F187" i="1"/>
  <c r="G187" i="1"/>
  <c r="H187" i="1"/>
  <c r="I187" i="1"/>
  <c r="J187" i="1"/>
  <c r="K187" i="1"/>
  <c r="L187" i="1"/>
  <c r="M187" i="1"/>
  <c r="P187" i="1"/>
  <c r="Q187" i="1"/>
  <c r="R187" i="1"/>
  <c r="U187" i="1"/>
  <c r="V187" i="1"/>
  <c r="X187" i="1"/>
  <c r="A188" i="1"/>
  <c r="B188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P188" i="1"/>
  <c r="Q188" i="1"/>
  <c r="R188" i="1"/>
  <c r="T188" i="1"/>
  <c r="U188" i="1"/>
  <c r="V188" i="1"/>
  <c r="X188" i="1"/>
  <c r="A189" i="1"/>
  <c r="R189" i="1" s="1"/>
  <c r="B189" i="1"/>
  <c r="C189" i="1"/>
  <c r="D189" i="1"/>
  <c r="E189" i="1"/>
  <c r="F189" i="1"/>
  <c r="G189" i="1"/>
  <c r="H189" i="1"/>
  <c r="I189" i="1"/>
  <c r="J189" i="1"/>
  <c r="K189" i="1"/>
  <c r="L189" i="1"/>
  <c r="M189" i="1"/>
  <c r="X189" i="1"/>
  <c r="A190" i="1"/>
  <c r="N190" i="1" s="1"/>
  <c r="B190" i="1"/>
  <c r="C190" i="1"/>
  <c r="D190" i="1"/>
  <c r="E190" i="1"/>
  <c r="F190" i="1"/>
  <c r="G190" i="1"/>
  <c r="H190" i="1"/>
  <c r="I190" i="1"/>
  <c r="J190" i="1"/>
  <c r="K190" i="1"/>
  <c r="L190" i="1"/>
  <c r="M190" i="1"/>
  <c r="Q190" i="1"/>
  <c r="R190" i="1"/>
  <c r="V190" i="1"/>
  <c r="W190" i="1"/>
  <c r="A191" i="1"/>
  <c r="B191" i="1"/>
  <c r="C191" i="1"/>
  <c r="F191" i="1"/>
  <c r="G191" i="1"/>
  <c r="D191" i="1" s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A192" i="1"/>
  <c r="B192" i="1"/>
  <c r="C192" i="1"/>
  <c r="F192" i="1"/>
  <c r="G192" i="1"/>
  <c r="D192" i="1" s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A193" i="1"/>
  <c r="B193" i="1"/>
  <c r="C193" i="1"/>
  <c r="F193" i="1"/>
  <c r="G193" i="1"/>
  <c r="D193" i="1" s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A194" i="1"/>
  <c r="B194" i="1"/>
  <c r="C194" i="1"/>
  <c r="F194" i="1"/>
  <c r="G194" i="1"/>
  <c r="D194" i="1" s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A195" i="1"/>
  <c r="B195" i="1"/>
  <c r="C195" i="1"/>
  <c r="F195" i="1"/>
  <c r="G195" i="1"/>
  <c r="D195" i="1" s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A196" i="1"/>
  <c r="B196" i="1"/>
  <c r="C196" i="1"/>
  <c r="F196" i="1"/>
  <c r="G196" i="1"/>
  <c r="D196" i="1" s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A197" i="1"/>
  <c r="B197" i="1"/>
  <c r="C197" i="1"/>
  <c r="F197" i="1"/>
  <c r="G197" i="1"/>
  <c r="D197" i="1" s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A198" i="1"/>
  <c r="B198" i="1"/>
  <c r="C198" i="1"/>
  <c r="F198" i="1"/>
  <c r="G198" i="1"/>
  <c r="D198" i="1" s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A199" i="1"/>
  <c r="B199" i="1"/>
  <c r="C199" i="1"/>
  <c r="F199" i="1"/>
  <c r="G199" i="1"/>
  <c r="D199" i="1" s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A200" i="1"/>
  <c r="B200" i="1"/>
  <c r="C200" i="1"/>
  <c r="F200" i="1"/>
  <c r="G200" i="1"/>
  <c r="D200" i="1" s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A201" i="1"/>
  <c r="B201" i="1"/>
  <c r="C201" i="1"/>
  <c r="F201" i="1"/>
  <c r="G201" i="1"/>
  <c r="D201" i="1" s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A202" i="1"/>
  <c r="B202" i="1"/>
  <c r="C202" i="1"/>
  <c r="F202" i="1"/>
  <c r="G202" i="1"/>
  <c r="D202" i="1" s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A203" i="1"/>
  <c r="B203" i="1"/>
  <c r="C203" i="1"/>
  <c r="F203" i="1"/>
  <c r="G203" i="1"/>
  <c r="D203" i="1" s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A204" i="1"/>
  <c r="B204" i="1"/>
  <c r="C204" i="1"/>
  <c r="F204" i="1"/>
  <c r="G204" i="1"/>
  <c r="D204" i="1" s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A205" i="1"/>
  <c r="B205" i="1"/>
  <c r="C205" i="1"/>
  <c r="F205" i="1"/>
  <c r="G205" i="1"/>
  <c r="D205" i="1" s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A206" i="1"/>
  <c r="B206" i="1"/>
  <c r="C206" i="1"/>
  <c r="F206" i="1"/>
  <c r="G206" i="1"/>
  <c r="D206" i="1" s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A207" i="1"/>
  <c r="B207" i="1"/>
  <c r="C207" i="1"/>
  <c r="F207" i="1"/>
  <c r="G207" i="1"/>
  <c r="D207" i="1" s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A208" i="1"/>
  <c r="B208" i="1"/>
  <c r="C208" i="1"/>
  <c r="F208" i="1"/>
  <c r="G208" i="1"/>
  <c r="D208" i="1" s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A209" i="1"/>
  <c r="B209" i="1"/>
  <c r="C209" i="1"/>
  <c r="F209" i="1"/>
  <c r="G209" i="1"/>
  <c r="D209" i="1" s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A210" i="1"/>
  <c r="B210" i="1"/>
  <c r="C210" i="1"/>
  <c r="F210" i="1"/>
  <c r="G210" i="1"/>
  <c r="D210" i="1" s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A211" i="1"/>
  <c r="B211" i="1"/>
  <c r="C211" i="1"/>
  <c r="F211" i="1"/>
  <c r="G211" i="1"/>
  <c r="D211" i="1" s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A212" i="1"/>
  <c r="B212" i="1"/>
  <c r="C212" i="1"/>
  <c r="F212" i="1"/>
  <c r="G212" i="1"/>
  <c r="D212" i="1" s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A213" i="1"/>
  <c r="B213" i="1"/>
  <c r="C213" i="1"/>
  <c r="F213" i="1"/>
  <c r="G213" i="1"/>
  <c r="D213" i="1" s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A214" i="1"/>
  <c r="B214" i="1"/>
  <c r="C214" i="1"/>
  <c r="F214" i="1"/>
  <c r="G214" i="1"/>
  <c r="D214" i="1" s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A215" i="1"/>
  <c r="B215" i="1"/>
  <c r="C215" i="1"/>
  <c r="F215" i="1"/>
  <c r="G215" i="1"/>
  <c r="D215" i="1" s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A216" i="1"/>
  <c r="B216" i="1"/>
  <c r="C216" i="1"/>
  <c r="F216" i="1"/>
  <c r="G216" i="1"/>
  <c r="D216" i="1" s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A217" i="1"/>
  <c r="B217" i="1"/>
  <c r="C217" i="1"/>
  <c r="F217" i="1"/>
  <c r="G217" i="1"/>
  <c r="D217" i="1" s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A218" i="1"/>
  <c r="B218" i="1"/>
  <c r="C218" i="1"/>
  <c r="F218" i="1"/>
  <c r="G218" i="1"/>
  <c r="D218" i="1" s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A219" i="1"/>
  <c r="B219" i="1"/>
  <c r="C219" i="1"/>
  <c r="F219" i="1"/>
  <c r="G219" i="1"/>
  <c r="D219" i="1" s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A220" i="1"/>
  <c r="B220" i="1"/>
  <c r="C220" i="1"/>
  <c r="F220" i="1"/>
  <c r="G220" i="1"/>
  <c r="D220" i="1" s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A221" i="1"/>
  <c r="B221" i="1"/>
  <c r="C221" i="1"/>
  <c r="F221" i="1"/>
  <c r="G221" i="1"/>
  <c r="D221" i="1" s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A222" i="1"/>
  <c r="B222" i="1"/>
  <c r="C222" i="1"/>
  <c r="F222" i="1"/>
  <c r="G222" i="1"/>
  <c r="D222" i="1" s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A223" i="1"/>
  <c r="B223" i="1"/>
  <c r="C223" i="1"/>
  <c r="F223" i="1"/>
  <c r="G223" i="1"/>
  <c r="D223" i="1" s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A224" i="1"/>
  <c r="B224" i="1"/>
  <c r="C224" i="1"/>
  <c r="F224" i="1"/>
  <c r="G224" i="1"/>
  <c r="D224" i="1" s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A225" i="1"/>
  <c r="B225" i="1"/>
  <c r="C225" i="1"/>
  <c r="D225" i="1"/>
  <c r="F225" i="1"/>
  <c r="G225" i="1"/>
  <c r="E225" i="1" s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A226" i="1"/>
  <c r="B226" i="1"/>
  <c r="C226" i="1"/>
  <c r="D226" i="1"/>
  <c r="F226" i="1"/>
  <c r="G226" i="1"/>
  <c r="E226" i="1" s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A227" i="1"/>
  <c r="B227" i="1"/>
  <c r="C227" i="1"/>
  <c r="D227" i="1"/>
  <c r="F227" i="1"/>
  <c r="G227" i="1"/>
  <c r="E227" i="1" s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A228" i="1"/>
  <c r="B228" i="1"/>
  <c r="C228" i="1"/>
  <c r="D228" i="1"/>
  <c r="F228" i="1"/>
  <c r="G228" i="1"/>
  <c r="E228" i="1" s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A229" i="1"/>
  <c r="B229" i="1"/>
  <c r="C229" i="1"/>
  <c r="D229" i="1"/>
  <c r="F229" i="1"/>
  <c r="G229" i="1"/>
  <c r="E229" i="1" s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A230" i="1"/>
  <c r="B230" i="1"/>
  <c r="C230" i="1"/>
  <c r="D230" i="1"/>
  <c r="F230" i="1"/>
  <c r="G230" i="1"/>
  <c r="E230" i="1" s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A231" i="1"/>
  <c r="B231" i="1"/>
  <c r="C231" i="1"/>
  <c r="D231" i="1"/>
  <c r="F231" i="1"/>
  <c r="G231" i="1"/>
  <c r="E231" i="1" s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A232" i="1"/>
  <c r="B232" i="1"/>
  <c r="C232" i="1"/>
  <c r="D232" i="1"/>
  <c r="F232" i="1"/>
  <c r="G232" i="1"/>
  <c r="E232" i="1" s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A233" i="1"/>
  <c r="B233" i="1"/>
  <c r="C233" i="1"/>
  <c r="D233" i="1"/>
  <c r="F233" i="1"/>
  <c r="G233" i="1"/>
  <c r="E233" i="1" s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A234" i="1"/>
  <c r="B234" i="1"/>
  <c r="C234" i="1"/>
  <c r="D234" i="1"/>
  <c r="F234" i="1"/>
  <c r="G234" i="1"/>
  <c r="E234" i="1" s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A235" i="1"/>
  <c r="B235" i="1"/>
  <c r="C235" i="1"/>
  <c r="D235" i="1"/>
  <c r="F235" i="1"/>
  <c r="G235" i="1"/>
  <c r="E235" i="1" s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A236" i="1"/>
  <c r="B236" i="1"/>
  <c r="C236" i="1"/>
  <c r="D236" i="1"/>
  <c r="F236" i="1"/>
  <c r="G236" i="1"/>
  <c r="E236" i="1" s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A237" i="1"/>
  <c r="B237" i="1"/>
  <c r="C237" i="1"/>
  <c r="D237" i="1"/>
  <c r="F237" i="1"/>
  <c r="G237" i="1"/>
  <c r="E237" i="1" s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A238" i="1"/>
  <c r="B238" i="1"/>
  <c r="C238" i="1"/>
  <c r="D238" i="1"/>
  <c r="F238" i="1"/>
  <c r="G238" i="1"/>
  <c r="E238" i="1" s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A239" i="1"/>
  <c r="B239" i="1"/>
  <c r="C239" i="1"/>
  <c r="D239" i="1"/>
  <c r="F239" i="1"/>
  <c r="G239" i="1"/>
  <c r="E239" i="1" s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A240" i="1"/>
  <c r="B240" i="1"/>
  <c r="C240" i="1"/>
  <c r="D240" i="1"/>
  <c r="F240" i="1"/>
  <c r="G240" i="1"/>
  <c r="E240" i="1" s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A241" i="1"/>
  <c r="B241" i="1"/>
  <c r="C241" i="1"/>
  <c r="D241" i="1"/>
  <c r="F241" i="1"/>
  <c r="G241" i="1"/>
  <c r="E241" i="1" s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A242" i="1"/>
  <c r="B242" i="1"/>
  <c r="C242" i="1"/>
  <c r="D242" i="1"/>
  <c r="F242" i="1"/>
  <c r="G242" i="1"/>
  <c r="E242" i="1" s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A243" i="1"/>
  <c r="B243" i="1"/>
  <c r="C243" i="1"/>
  <c r="D243" i="1"/>
  <c r="F243" i="1"/>
  <c r="G243" i="1"/>
  <c r="E243" i="1" s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A244" i="1"/>
  <c r="B244" i="1"/>
  <c r="C244" i="1"/>
  <c r="D244" i="1"/>
  <c r="F244" i="1"/>
  <c r="G244" i="1"/>
  <c r="E244" i="1" s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A245" i="1"/>
  <c r="B245" i="1"/>
  <c r="C245" i="1"/>
  <c r="D245" i="1"/>
  <c r="F245" i="1"/>
  <c r="G245" i="1"/>
  <c r="E245" i="1" s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A246" i="1"/>
  <c r="B246" i="1"/>
  <c r="C246" i="1"/>
  <c r="D246" i="1"/>
  <c r="F246" i="1"/>
  <c r="G246" i="1"/>
  <c r="E246" i="1" s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A247" i="1"/>
  <c r="B247" i="1"/>
  <c r="C247" i="1"/>
  <c r="D247" i="1"/>
  <c r="F247" i="1"/>
  <c r="G247" i="1"/>
  <c r="E247" i="1" s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A248" i="1"/>
  <c r="B248" i="1"/>
  <c r="C248" i="1"/>
  <c r="D248" i="1"/>
  <c r="F248" i="1"/>
  <c r="G248" i="1"/>
  <c r="E248" i="1" s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A249" i="1"/>
  <c r="B249" i="1"/>
  <c r="C249" i="1"/>
  <c r="D249" i="1"/>
  <c r="F249" i="1"/>
  <c r="G249" i="1"/>
  <c r="E249" i="1" s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A250" i="1"/>
  <c r="B250" i="1"/>
  <c r="C250" i="1"/>
  <c r="D250" i="1"/>
  <c r="F250" i="1"/>
  <c r="G250" i="1"/>
  <c r="E250" i="1" s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A251" i="1"/>
  <c r="B251" i="1"/>
  <c r="C251" i="1"/>
  <c r="D251" i="1"/>
  <c r="F251" i="1"/>
  <c r="G251" i="1"/>
  <c r="E251" i="1" s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A252" i="1"/>
  <c r="B252" i="1"/>
  <c r="C252" i="1"/>
  <c r="D252" i="1"/>
  <c r="F252" i="1"/>
  <c r="G252" i="1"/>
  <c r="E252" i="1" s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A253" i="1"/>
  <c r="B253" i="1"/>
  <c r="C253" i="1"/>
  <c r="D253" i="1"/>
  <c r="F253" i="1"/>
  <c r="G253" i="1"/>
  <c r="E253" i="1" s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A254" i="1"/>
  <c r="B254" i="1"/>
  <c r="C254" i="1"/>
  <c r="D254" i="1"/>
  <c r="F254" i="1"/>
  <c r="G254" i="1"/>
  <c r="E254" i="1" s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A255" i="1"/>
  <c r="B255" i="1"/>
  <c r="C255" i="1"/>
  <c r="D255" i="1"/>
  <c r="F255" i="1"/>
  <c r="G255" i="1"/>
  <c r="E255" i="1" s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A256" i="1"/>
  <c r="B256" i="1"/>
  <c r="C256" i="1"/>
  <c r="D256" i="1"/>
  <c r="F256" i="1"/>
  <c r="G256" i="1"/>
  <c r="E256" i="1" s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A257" i="1"/>
  <c r="B257" i="1"/>
  <c r="C257" i="1"/>
  <c r="D257" i="1"/>
  <c r="F257" i="1"/>
  <c r="G257" i="1"/>
  <c r="E257" i="1" s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A258" i="1"/>
  <c r="B258" i="1"/>
  <c r="C258" i="1"/>
  <c r="D258" i="1"/>
  <c r="F258" i="1"/>
  <c r="G258" i="1"/>
  <c r="E258" i="1" s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A259" i="1"/>
  <c r="B259" i="1"/>
  <c r="C259" i="1"/>
  <c r="D259" i="1"/>
  <c r="F259" i="1"/>
  <c r="G259" i="1"/>
  <c r="E259" i="1" s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A260" i="1"/>
  <c r="B260" i="1"/>
  <c r="C260" i="1"/>
  <c r="D260" i="1"/>
  <c r="F260" i="1"/>
  <c r="G260" i="1"/>
  <c r="E260" i="1" s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A261" i="1"/>
  <c r="B261" i="1"/>
  <c r="C261" i="1"/>
  <c r="D261" i="1"/>
  <c r="F261" i="1"/>
  <c r="G261" i="1"/>
  <c r="E261" i="1" s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A262" i="1"/>
  <c r="B262" i="1"/>
  <c r="C262" i="1"/>
  <c r="D262" i="1"/>
  <c r="F262" i="1"/>
  <c r="G262" i="1"/>
  <c r="E262" i="1" s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A263" i="1"/>
  <c r="B263" i="1"/>
  <c r="C263" i="1"/>
  <c r="D263" i="1"/>
  <c r="F263" i="1"/>
  <c r="G263" i="1"/>
  <c r="E263" i="1" s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A264" i="1"/>
  <c r="B264" i="1"/>
  <c r="C264" i="1"/>
  <c r="D264" i="1"/>
  <c r="F264" i="1"/>
  <c r="G264" i="1"/>
  <c r="E264" i="1" s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A265" i="1"/>
  <c r="B265" i="1"/>
  <c r="C265" i="1"/>
  <c r="D265" i="1"/>
  <c r="E265" i="1"/>
  <c r="F265" i="1"/>
  <c r="G265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A266" i="1"/>
  <c r="O266" i="1" s="1"/>
  <c r="B266" i="1"/>
  <c r="C266" i="1"/>
  <c r="D266" i="1"/>
  <c r="E266" i="1"/>
  <c r="F266" i="1"/>
  <c r="G266" i="1"/>
  <c r="H266" i="1"/>
  <c r="I266" i="1"/>
  <c r="J266" i="1"/>
  <c r="K266" i="1"/>
  <c r="L266" i="1"/>
  <c r="M266" i="1"/>
  <c r="N266" i="1"/>
  <c r="P266" i="1"/>
  <c r="Q266" i="1"/>
  <c r="R266" i="1"/>
  <c r="T266" i="1"/>
  <c r="U266" i="1"/>
  <c r="V266" i="1"/>
  <c r="X266" i="1"/>
  <c r="A267" i="1"/>
  <c r="O267" i="1" s="1"/>
  <c r="B267" i="1"/>
  <c r="C267" i="1"/>
  <c r="D267" i="1"/>
  <c r="E267" i="1"/>
  <c r="F267" i="1"/>
  <c r="G267" i="1"/>
  <c r="H267" i="1"/>
  <c r="I267" i="1"/>
  <c r="J267" i="1"/>
  <c r="K267" i="1"/>
  <c r="L267" i="1"/>
  <c r="M267" i="1"/>
  <c r="N267" i="1"/>
  <c r="P267" i="1"/>
  <c r="Q267" i="1"/>
  <c r="R267" i="1"/>
  <c r="T267" i="1"/>
  <c r="U267" i="1"/>
  <c r="V267" i="1"/>
  <c r="X267" i="1"/>
  <c r="A268" i="1"/>
  <c r="O268" i="1" s="1"/>
  <c r="B268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P268" i="1"/>
  <c r="Q268" i="1"/>
  <c r="R268" i="1"/>
  <c r="T268" i="1"/>
  <c r="U268" i="1"/>
  <c r="V268" i="1"/>
  <c r="X268" i="1"/>
  <c r="A269" i="1"/>
  <c r="O269" i="1" s="1"/>
  <c r="B269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P269" i="1"/>
  <c r="Q269" i="1"/>
  <c r="R269" i="1"/>
  <c r="T269" i="1"/>
  <c r="U269" i="1"/>
  <c r="V269" i="1"/>
  <c r="X269" i="1"/>
  <c r="A270" i="1"/>
  <c r="O270" i="1" s="1"/>
  <c r="B270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P270" i="1"/>
  <c r="Q270" i="1"/>
  <c r="R270" i="1"/>
  <c r="T270" i="1"/>
  <c r="U270" i="1"/>
  <c r="V270" i="1"/>
  <c r="X270" i="1"/>
  <c r="A271" i="1"/>
  <c r="O271" i="1" s="1"/>
  <c r="B271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P271" i="1"/>
  <c r="Q271" i="1"/>
  <c r="R271" i="1"/>
  <c r="T271" i="1"/>
  <c r="U271" i="1"/>
  <c r="V271" i="1"/>
  <c r="X271" i="1"/>
  <c r="A272" i="1"/>
  <c r="O272" i="1" s="1"/>
  <c r="B272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P272" i="1"/>
  <c r="Q272" i="1"/>
  <c r="R272" i="1"/>
  <c r="T272" i="1"/>
  <c r="U272" i="1"/>
  <c r="V272" i="1"/>
  <c r="X272" i="1"/>
  <c r="A273" i="1"/>
  <c r="O273" i="1" s="1"/>
  <c r="B273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P273" i="1"/>
  <c r="Q273" i="1"/>
  <c r="R273" i="1"/>
  <c r="T273" i="1"/>
  <c r="U273" i="1"/>
  <c r="V273" i="1"/>
  <c r="X273" i="1"/>
  <c r="A274" i="1"/>
  <c r="O274" i="1" s="1"/>
  <c r="B274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P274" i="1"/>
  <c r="Q274" i="1"/>
  <c r="R274" i="1"/>
  <c r="T274" i="1"/>
  <c r="U274" i="1"/>
  <c r="V274" i="1"/>
  <c r="X274" i="1"/>
  <c r="A275" i="1"/>
  <c r="O275" i="1" s="1"/>
  <c r="B275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P275" i="1"/>
  <c r="Q275" i="1"/>
  <c r="R275" i="1"/>
  <c r="T275" i="1"/>
  <c r="U275" i="1"/>
  <c r="V275" i="1"/>
  <c r="X275" i="1"/>
  <c r="A276" i="1"/>
  <c r="O276" i="1" s="1"/>
  <c r="B276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P276" i="1"/>
  <c r="Q276" i="1"/>
  <c r="R276" i="1"/>
  <c r="T276" i="1"/>
  <c r="U276" i="1"/>
  <c r="V276" i="1"/>
  <c r="X276" i="1"/>
  <c r="A277" i="1"/>
  <c r="O277" i="1" s="1"/>
  <c r="B277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P277" i="1"/>
  <c r="Q277" i="1"/>
  <c r="R277" i="1"/>
  <c r="T277" i="1"/>
  <c r="U277" i="1"/>
  <c r="V277" i="1"/>
  <c r="X277" i="1"/>
  <c r="A278" i="1"/>
  <c r="O278" i="1" s="1"/>
  <c r="B278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P278" i="1"/>
  <c r="Q278" i="1"/>
  <c r="R278" i="1"/>
  <c r="T278" i="1"/>
  <c r="U278" i="1"/>
  <c r="V278" i="1"/>
  <c r="X278" i="1"/>
  <c r="A279" i="1"/>
  <c r="O279" i="1" s="1"/>
  <c r="B279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P279" i="1"/>
  <c r="Q279" i="1"/>
  <c r="R279" i="1"/>
  <c r="T279" i="1"/>
  <c r="U279" i="1"/>
  <c r="V279" i="1"/>
  <c r="X279" i="1"/>
  <c r="A280" i="1"/>
  <c r="O280" i="1" s="1"/>
  <c r="B280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P280" i="1"/>
  <c r="Q280" i="1"/>
  <c r="R280" i="1"/>
  <c r="T280" i="1"/>
  <c r="U280" i="1"/>
  <c r="V280" i="1"/>
  <c r="X280" i="1"/>
  <c r="A281" i="1"/>
  <c r="O281" i="1" s="1"/>
  <c r="B281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P281" i="1"/>
  <c r="Q281" i="1"/>
  <c r="R281" i="1"/>
  <c r="T281" i="1"/>
  <c r="U281" i="1"/>
  <c r="V281" i="1"/>
  <c r="X281" i="1"/>
  <c r="A282" i="1"/>
  <c r="O282" i="1" s="1"/>
  <c r="B282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P282" i="1"/>
  <c r="Q282" i="1"/>
  <c r="R282" i="1"/>
  <c r="T282" i="1"/>
  <c r="U282" i="1"/>
  <c r="V282" i="1"/>
  <c r="X282" i="1"/>
  <c r="A283" i="1"/>
  <c r="O283" i="1" s="1"/>
  <c r="B283" i="1"/>
  <c r="C283" i="1"/>
  <c r="D283" i="1"/>
  <c r="E283" i="1"/>
  <c r="F283" i="1"/>
  <c r="G283" i="1"/>
  <c r="H283" i="1"/>
  <c r="I283" i="1"/>
  <c r="J283" i="1"/>
  <c r="K283" i="1"/>
  <c r="L283" i="1"/>
  <c r="M283" i="1"/>
  <c r="N283" i="1"/>
  <c r="P283" i="1"/>
  <c r="Q283" i="1"/>
  <c r="R283" i="1"/>
  <c r="T283" i="1"/>
  <c r="U283" i="1"/>
  <c r="V283" i="1"/>
  <c r="X283" i="1"/>
  <c r="A284" i="1"/>
  <c r="O284" i="1" s="1"/>
  <c r="B284" i="1"/>
  <c r="C284" i="1"/>
  <c r="D284" i="1"/>
  <c r="E284" i="1"/>
  <c r="F284" i="1"/>
  <c r="G284" i="1"/>
  <c r="H284" i="1"/>
  <c r="I284" i="1"/>
  <c r="J284" i="1"/>
  <c r="K284" i="1"/>
  <c r="L284" i="1"/>
  <c r="M284" i="1"/>
  <c r="N284" i="1"/>
  <c r="P284" i="1"/>
  <c r="Q284" i="1"/>
  <c r="R284" i="1"/>
  <c r="T284" i="1"/>
  <c r="U284" i="1"/>
  <c r="V284" i="1"/>
  <c r="X284" i="1"/>
  <c r="A285" i="1"/>
  <c r="O285" i="1" s="1"/>
  <c r="B285" i="1"/>
  <c r="C285" i="1"/>
  <c r="D285" i="1"/>
  <c r="E285" i="1"/>
  <c r="F285" i="1"/>
  <c r="G285" i="1"/>
  <c r="H285" i="1"/>
  <c r="I285" i="1"/>
  <c r="J285" i="1"/>
  <c r="K285" i="1"/>
  <c r="L285" i="1"/>
  <c r="M285" i="1"/>
  <c r="N285" i="1"/>
  <c r="P285" i="1"/>
  <c r="Q285" i="1"/>
  <c r="R285" i="1"/>
  <c r="T285" i="1"/>
  <c r="U285" i="1"/>
  <c r="V285" i="1"/>
  <c r="X285" i="1"/>
  <c r="A286" i="1"/>
  <c r="O286" i="1" s="1"/>
  <c r="B286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P286" i="1"/>
  <c r="Q286" i="1"/>
  <c r="R286" i="1"/>
  <c r="T286" i="1"/>
  <c r="U286" i="1"/>
  <c r="V286" i="1"/>
  <c r="X286" i="1"/>
  <c r="A287" i="1"/>
  <c r="O287" i="1" s="1"/>
  <c r="B287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P287" i="1"/>
  <c r="Q287" i="1"/>
  <c r="R287" i="1"/>
  <c r="T287" i="1"/>
  <c r="U287" i="1"/>
  <c r="V287" i="1"/>
  <c r="X287" i="1"/>
  <c r="A288" i="1"/>
  <c r="O288" i="1" s="1"/>
  <c r="B288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P288" i="1"/>
  <c r="Q288" i="1"/>
  <c r="R288" i="1"/>
  <c r="T288" i="1"/>
  <c r="U288" i="1"/>
  <c r="V288" i="1"/>
  <c r="X288" i="1"/>
  <c r="A289" i="1"/>
  <c r="O289" i="1" s="1"/>
  <c r="B289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P289" i="1"/>
  <c r="Q289" i="1"/>
  <c r="R289" i="1"/>
  <c r="T289" i="1"/>
  <c r="U289" i="1"/>
  <c r="V289" i="1"/>
  <c r="X289" i="1"/>
  <c r="A290" i="1"/>
  <c r="O290" i="1" s="1"/>
  <c r="B290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P290" i="1"/>
  <c r="Q290" i="1"/>
  <c r="R290" i="1"/>
  <c r="T290" i="1"/>
  <c r="U290" i="1"/>
  <c r="V290" i="1"/>
  <c r="X290" i="1"/>
  <c r="A291" i="1"/>
  <c r="O291" i="1" s="1"/>
  <c r="B291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P291" i="1"/>
  <c r="Q291" i="1"/>
  <c r="R291" i="1"/>
  <c r="T291" i="1"/>
  <c r="U291" i="1"/>
  <c r="V291" i="1"/>
  <c r="X291" i="1"/>
  <c r="A292" i="1"/>
  <c r="O292" i="1" s="1"/>
  <c r="B292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P292" i="1"/>
  <c r="Q292" i="1"/>
  <c r="R292" i="1"/>
  <c r="T292" i="1"/>
  <c r="U292" i="1"/>
  <c r="V292" i="1"/>
  <c r="X292" i="1"/>
  <c r="A293" i="1"/>
  <c r="O293" i="1" s="1"/>
  <c r="B293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P293" i="1"/>
  <c r="Q293" i="1"/>
  <c r="R293" i="1"/>
  <c r="T293" i="1"/>
  <c r="U293" i="1"/>
  <c r="V293" i="1"/>
  <c r="X293" i="1"/>
  <c r="A294" i="1"/>
  <c r="O294" i="1" s="1"/>
  <c r="B294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P294" i="1"/>
  <c r="Q294" i="1"/>
  <c r="R294" i="1"/>
  <c r="T294" i="1"/>
  <c r="U294" i="1"/>
  <c r="V294" i="1"/>
  <c r="X294" i="1"/>
  <c r="A295" i="1"/>
  <c r="O295" i="1" s="1"/>
  <c r="B295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P295" i="1"/>
  <c r="Q295" i="1"/>
  <c r="R295" i="1"/>
  <c r="T295" i="1"/>
  <c r="U295" i="1"/>
  <c r="V295" i="1"/>
  <c r="X295" i="1"/>
  <c r="A296" i="1"/>
  <c r="O296" i="1" s="1"/>
  <c r="B296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P296" i="1"/>
  <c r="Q296" i="1"/>
  <c r="R296" i="1"/>
  <c r="T296" i="1"/>
  <c r="U296" i="1"/>
  <c r="V296" i="1"/>
  <c r="X296" i="1"/>
  <c r="A297" i="1"/>
  <c r="O297" i="1" s="1"/>
  <c r="B297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P297" i="1"/>
  <c r="Q297" i="1"/>
  <c r="R297" i="1"/>
  <c r="T297" i="1"/>
  <c r="U297" i="1"/>
  <c r="V297" i="1"/>
  <c r="X297" i="1"/>
  <c r="A298" i="1"/>
  <c r="O298" i="1" s="1"/>
  <c r="B298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P298" i="1"/>
  <c r="Q298" i="1"/>
  <c r="R298" i="1"/>
  <c r="T298" i="1"/>
  <c r="U298" i="1"/>
  <c r="V298" i="1"/>
  <c r="X298" i="1"/>
  <c r="A299" i="1"/>
  <c r="O299" i="1" s="1"/>
  <c r="B299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P299" i="1"/>
  <c r="Q299" i="1"/>
  <c r="R299" i="1"/>
  <c r="T299" i="1"/>
  <c r="U299" i="1"/>
  <c r="V299" i="1"/>
  <c r="X299" i="1"/>
  <c r="A300" i="1"/>
  <c r="O300" i="1" s="1"/>
  <c r="B300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P300" i="1"/>
  <c r="Q300" i="1"/>
  <c r="R300" i="1"/>
  <c r="T300" i="1"/>
  <c r="U300" i="1"/>
  <c r="V300" i="1"/>
  <c r="X300" i="1"/>
  <c r="A301" i="1"/>
  <c r="O301" i="1" s="1"/>
  <c r="B301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P301" i="1"/>
  <c r="Q301" i="1"/>
  <c r="R301" i="1"/>
  <c r="T301" i="1"/>
  <c r="U301" i="1"/>
  <c r="V301" i="1"/>
  <c r="X301" i="1"/>
  <c r="A302" i="1"/>
  <c r="O302" i="1" s="1"/>
  <c r="B302" i="1"/>
  <c r="C302" i="1"/>
  <c r="D302" i="1"/>
  <c r="E302" i="1"/>
  <c r="F302" i="1"/>
  <c r="G302" i="1"/>
  <c r="H302" i="1"/>
  <c r="I302" i="1"/>
  <c r="J302" i="1"/>
  <c r="K302" i="1"/>
  <c r="L302" i="1"/>
  <c r="M302" i="1"/>
  <c r="N302" i="1"/>
  <c r="P302" i="1"/>
  <c r="Q302" i="1"/>
  <c r="R302" i="1"/>
  <c r="T302" i="1"/>
  <c r="U302" i="1"/>
  <c r="V302" i="1"/>
  <c r="X302" i="1"/>
  <c r="A303" i="1"/>
  <c r="O303" i="1" s="1"/>
  <c r="B303" i="1"/>
  <c r="C303" i="1"/>
  <c r="D303" i="1"/>
  <c r="E303" i="1"/>
  <c r="F303" i="1"/>
  <c r="G303" i="1"/>
  <c r="H303" i="1"/>
  <c r="I303" i="1"/>
  <c r="J303" i="1"/>
  <c r="K303" i="1"/>
  <c r="L303" i="1"/>
  <c r="M303" i="1"/>
  <c r="N303" i="1"/>
  <c r="P303" i="1"/>
  <c r="Q303" i="1"/>
  <c r="R303" i="1"/>
  <c r="T303" i="1"/>
  <c r="U303" i="1"/>
  <c r="V303" i="1"/>
  <c r="X303" i="1"/>
  <c r="A304" i="1"/>
  <c r="O304" i="1" s="1"/>
  <c r="B304" i="1"/>
  <c r="C304" i="1"/>
  <c r="D304" i="1"/>
  <c r="E304" i="1"/>
  <c r="F304" i="1"/>
  <c r="G304" i="1"/>
  <c r="H304" i="1"/>
  <c r="I304" i="1"/>
  <c r="J304" i="1"/>
  <c r="K304" i="1"/>
  <c r="L304" i="1"/>
  <c r="M304" i="1"/>
  <c r="N304" i="1"/>
  <c r="P304" i="1"/>
  <c r="Q304" i="1"/>
  <c r="R304" i="1"/>
  <c r="T304" i="1"/>
  <c r="U304" i="1"/>
  <c r="V304" i="1"/>
  <c r="X304" i="1"/>
  <c r="A305" i="1"/>
  <c r="O305" i="1" s="1"/>
  <c r="B305" i="1"/>
  <c r="C305" i="1"/>
  <c r="D305" i="1"/>
  <c r="E305" i="1"/>
  <c r="F305" i="1"/>
  <c r="G305" i="1"/>
  <c r="H305" i="1"/>
  <c r="I305" i="1"/>
  <c r="J305" i="1"/>
  <c r="K305" i="1"/>
  <c r="L305" i="1"/>
  <c r="M305" i="1"/>
  <c r="N305" i="1"/>
  <c r="P305" i="1"/>
  <c r="Q305" i="1"/>
  <c r="R305" i="1"/>
  <c r="T305" i="1"/>
  <c r="U305" i="1"/>
  <c r="V305" i="1"/>
  <c r="X305" i="1"/>
  <c r="A306" i="1"/>
  <c r="O306" i="1" s="1"/>
  <c r="B306" i="1"/>
  <c r="C306" i="1"/>
  <c r="D306" i="1"/>
  <c r="E306" i="1"/>
  <c r="F306" i="1"/>
  <c r="G306" i="1"/>
  <c r="H306" i="1"/>
  <c r="I306" i="1"/>
  <c r="J306" i="1"/>
  <c r="K306" i="1"/>
  <c r="L306" i="1"/>
  <c r="M306" i="1"/>
  <c r="N306" i="1"/>
  <c r="P306" i="1"/>
  <c r="Q306" i="1"/>
  <c r="R306" i="1"/>
  <c r="T306" i="1"/>
  <c r="U306" i="1"/>
  <c r="V306" i="1"/>
  <c r="X306" i="1"/>
  <c r="A307" i="1"/>
  <c r="O307" i="1" s="1"/>
  <c r="B307" i="1"/>
  <c r="C307" i="1"/>
  <c r="D307" i="1"/>
  <c r="E307" i="1"/>
  <c r="F307" i="1"/>
  <c r="G307" i="1"/>
  <c r="H307" i="1"/>
  <c r="I307" i="1"/>
  <c r="J307" i="1"/>
  <c r="K307" i="1"/>
  <c r="L307" i="1"/>
  <c r="M307" i="1"/>
  <c r="N307" i="1"/>
  <c r="P307" i="1"/>
  <c r="Q307" i="1"/>
  <c r="R307" i="1"/>
  <c r="T307" i="1"/>
  <c r="U307" i="1"/>
  <c r="V307" i="1"/>
  <c r="X307" i="1"/>
  <c r="A308" i="1"/>
  <c r="B308" i="1"/>
  <c r="C308" i="1"/>
  <c r="D308" i="1"/>
  <c r="E308" i="1"/>
  <c r="F308" i="1"/>
  <c r="G308" i="1"/>
  <c r="H308" i="1"/>
  <c r="I308" i="1"/>
  <c r="J308" i="1"/>
  <c r="K308" i="1"/>
  <c r="L308" i="1"/>
  <c r="M308" i="1"/>
  <c r="A309" i="1"/>
  <c r="B309" i="1"/>
  <c r="C309" i="1"/>
  <c r="D309" i="1"/>
  <c r="E309" i="1"/>
  <c r="F309" i="1"/>
  <c r="G309" i="1"/>
  <c r="H309" i="1"/>
  <c r="I309" i="1"/>
  <c r="J309" i="1"/>
  <c r="K309" i="1"/>
  <c r="L309" i="1"/>
  <c r="M309" i="1"/>
  <c r="N309" i="1"/>
  <c r="P309" i="1"/>
  <c r="Q309" i="1"/>
  <c r="R309" i="1"/>
  <c r="T309" i="1"/>
  <c r="U309" i="1"/>
  <c r="V309" i="1"/>
  <c r="X309" i="1"/>
  <c r="A310" i="1"/>
  <c r="N310" i="1" s="1"/>
  <c r="B310" i="1"/>
  <c r="C310" i="1"/>
  <c r="D310" i="1"/>
  <c r="E310" i="1"/>
  <c r="F310" i="1"/>
  <c r="G310" i="1"/>
  <c r="H310" i="1"/>
  <c r="I310" i="1"/>
  <c r="J310" i="1"/>
  <c r="K310" i="1"/>
  <c r="L310" i="1"/>
  <c r="M310" i="1"/>
  <c r="P310" i="1"/>
  <c r="R310" i="1"/>
  <c r="U310" i="1"/>
  <c r="X310" i="1"/>
  <c r="A311" i="1"/>
  <c r="B311" i="1"/>
  <c r="C311" i="1"/>
  <c r="D311" i="1"/>
  <c r="E311" i="1"/>
  <c r="F311" i="1"/>
  <c r="G311" i="1"/>
  <c r="H311" i="1"/>
  <c r="I311" i="1"/>
  <c r="J311" i="1"/>
  <c r="K311" i="1"/>
  <c r="L311" i="1"/>
  <c r="M311" i="1"/>
  <c r="N311" i="1"/>
  <c r="Q311" i="1"/>
  <c r="R311" i="1"/>
  <c r="T311" i="1"/>
  <c r="V311" i="1"/>
  <c r="X311" i="1"/>
  <c r="A312" i="1"/>
  <c r="X312" i="1" s="1"/>
  <c r="B312" i="1"/>
  <c r="C312" i="1"/>
  <c r="D312" i="1"/>
  <c r="E312" i="1"/>
  <c r="F312" i="1"/>
  <c r="G312" i="1"/>
  <c r="H312" i="1"/>
  <c r="I312" i="1"/>
  <c r="J312" i="1"/>
  <c r="K312" i="1"/>
  <c r="L312" i="1"/>
  <c r="M312" i="1"/>
  <c r="A313" i="1"/>
  <c r="B313" i="1"/>
  <c r="C313" i="1"/>
  <c r="D313" i="1"/>
  <c r="E313" i="1"/>
  <c r="F313" i="1"/>
  <c r="G313" i="1"/>
  <c r="H313" i="1"/>
  <c r="I313" i="1"/>
  <c r="J313" i="1"/>
  <c r="K313" i="1"/>
  <c r="L313" i="1"/>
  <c r="M313" i="1"/>
  <c r="N313" i="1"/>
  <c r="P313" i="1"/>
  <c r="Q313" i="1"/>
  <c r="R313" i="1"/>
  <c r="T313" i="1"/>
  <c r="U313" i="1"/>
  <c r="V313" i="1"/>
  <c r="X313" i="1"/>
  <c r="A314" i="1"/>
  <c r="N314" i="1" s="1"/>
  <c r="B314" i="1"/>
  <c r="C314" i="1"/>
  <c r="D314" i="1"/>
  <c r="E314" i="1"/>
  <c r="F314" i="1"/>
  <c r="G314" i="1"/>
  <c r="H314" i="1"/>
  <c r="I314" i="1"/>
  <c r="J314" i="1"/>
  <c r="K314" i="1"/>
  <c r="L314" i="1"/>
  <c r="M314" i="1"/>
  <c r="P314" i="1"/>
  <c r="R314" i="1"/>
  <c r="U314" i="1"/>
  <c r="X314" i="1"/>
  <c r="A315" i="1"/>
  <c r="B315" i="1"/>
  <c r="C315" i="1"/>
  <c r="D315" i="1"/>
  <c r="E315" i="1"/>
  <c r="F315" i="1"/>
  <c r="G315" i="1"/>
  <c r="H315" i="1"/>
  <c r="I315" i="1"/>
  <c r="J315" i="1"/>
  <c r="K315" i="1"/>
  <c r="L315" i="1"/>
  <c r="M315" i="1"/>
  <c r="N315" i="1"/>
  <c r="Q315" i="1"/>
  <c r="R315" i="1"/>
  <c r="T315" i="1"/>
  <c r="V315" i="1"/>
  <c r="X315" i="1"/>
  <c r="A316" i="1"/>
  <c r="X316" i="1" s="1"/>
  <c r="B316" i="1"/>
  <c r="C316" i="1"/>
  <c r="D316" i="1"/>
  <c r="E316" i="1"/>
  <c r="F316" i="1"/>
  <c r="G316" i="1"/>
  <c r="H316" i="1"/>
  <c r="I316" i="1"/>
  <c r="J316" i="1"/>
  <c r="K316" i="1"/>
  <c r="L316" i="1"/>
  <c r="M316" i="1"/>
  <c r="A317" i="1"/>
  <c r="B317" i="1"/>
  <c r="C317" i="1"/>
  <c r="D317" i="1"/>
  <c r="E317" i="1"/>
  <c r="F317" i="1"/>
  <c r="G317" i="1"/>
  <c r="H317" i="1"/>
  <c r="I317" i="1"/>
  <c r="J317" i="1"/>
  <c r="K317" i="1"/>
  <c r="L317" i="1"/>
  <c r="M317" i="1"/>
  <c r="N317" i="1"/>
  <c r="P317" i="1"/>
  <c r="Q317" i="1"/>
  <c r="R317" i="1"/>
  <c r="T317" i="1"/>
  <c r="U317" i="1"/>
  <c r="V317" i="1"/>
  <c r="X317" i="1"/>
  <c r="A318" i="1"/>
  <c r="N318" i="1" s="1"/>
  <c r="B318" i="1"/>
  <c r="C318" i="1"/>
  <c r="D318" i="1"/>
  <c r="E318" i="1"/>
  <c r="F318" i="1"/>
  <c r="G318" i="1"/>
  <c r="H318" i="1"/>
  <c r="I318" i="1"/>
  <c r="J318" i="1"/>
  <c r="K318" i="1"/>
  <c r="L318" i="1"/>
  <c r="M318" i="1"/>
  <c r="P318" i="1"/>
  <c r="R318" i="1"/>
  <c r="U318" i="1"/>
  <c r="X318" i="1"/>
  <c r="A319" i="1"/>
  <c r="B319" i="1"/>
  <c r="C319" i="1"/>
  <c r="D319" i="1"/>
  <c r="E319" i="1"/>
  <c r="F319" i="1"/>
  <c r="G319" i="1"/>
  <c r="H319" i="1"/>
  <c r="I319" i="1"/>
  <c r="J319" i="1"/>
  <c r="K319" i="1"/>
  <c r="L319" i="1"/>
  <c r="M319" i="1"/>
  <c r="N319" i="1"/>
  <c r="Q319" i="1"/>
  <c r="R319" i="1"/>
  <c r="T319" i="1"/>
  <c r="V319" i="1"/>
  <c r="X319" i="1"/>
  <c r="A320" i="1"/>
  <c r="X320" i="1" s="1"/>
  <c r="B320" i="1"/>
  <c r="C320" i="1"/>
  <c r="D320" i="1"/>
  <c r="E320" i="1"/>
  <c r="F320" i="1"/>
  <c r="G320" i="1"/>
  <c r="H320" i="1"/>
  <c r="I320" i="1"/>
  <c r="J320" i="1"/>
  <c r="K320" i="1"/>
  <c r="L320" i="1"/>
  <c r="M320" i="1"/>
  <c r="A321" i="1"/>
  <c r="B321" i="1"/>
  <c r="C321" i="1"/>
  <c r="D321" i="1"/>
  <c r="E321" i="1"/>
  <c r="F321" i="1"/>
  <c r="G321" i="1"/>
  <c r="H321" i="1"/>
  <c r="I321" i="1"/>
  <c r="J321" i="1"/>
  <c r="K321" i="1"/>
  <c r="L321" i="1"/>
  <c r="M321" i="1"/>
  <c r="N321" i="1"/>
  <c r="P321" i="1"/>
  <c r="Q321" i="1"/>
  <c r="R321" i="1"/>
  <c r="T321" i="1"/>
  <c r="U321" i="1"/>
  <c r="V321" i="1"/>
  <c r="X321" i="1"/>
  <c r="A322" i="1"/>
  <c r="N322" i="1" s="1"/>
  <c r="B322" i="1"/>
  <c r="C322" i="1"/>
  <c r="D322" i="1"/>
  <c r="E322" i="1"/>
  <c r="F322" i="1"/>
  <c r="G322" i="1"/>
  <c r="H322" i="1"/>
  <c r="I322" i="1"/>
  <c r="J322" i="1"/>
  <c r="K322" i="1"/>
  <c r="L322" i="1"/>
  <c r="M322" i="1"/>
  <c r="P322" i="1"/>
  <c r="R322" i="1"/>
  <c r="U322" i="1"/>
  <c r="X322" i="1"/>
  <c r="A323" i="1"/>
  <c r="B323" i="1"/>
  <c r="C323" i="1"/>
  <c r="D323" i="1"/>
  <c r="E323" i="1"/>
  <c r="F323" i="1"/>
  <c r="G323" i="1"/>
  <c r="H323" i="1"/>
  <c r="I323" i="1"/>
  <c r="J323" i="1"/>
  <c r="K323" i="1"/>
  <c r="L323" i="1"/>
  <c r="M323" i="1"/>
  <c r="N323" i="1"/>
  <c r="Q323" i="1"/>
  <c r="R323" i="1"/>
  <c r="T323" i="1"/>
  <c r="V323" i="1"/>
  <c r="X323" i="1"/>
  <c r="A324" i="1"/>
  <c r="B324" i="1"/>
  <c r="C324" i="1"/>
  <c r="D324" i="1"/>
  <c r="E324" i="1"/>
  <c r="F324" i="1"/>
  <c r="G324" i="1"/>
  <c r="H324" i="1"/>
  <c r="I324" i="1"/>
  <c r="J324" i="1"/>
  <c r="K324" i="1"/>
  <c r="L324" i="1"/>
  <c r="M324" i="1"/>
  <c r="A325" i="1"/>
  <c r="B325" i="1"/>
  <c r="C325" i="1"/>
  <c r="D325" i="1"/>
  <c r="E325" i="1"/>
  <c r="F325" i="1"/>
  <c r="G325" i="1"/>
  <c r="H325" i="1"/>
  <c r="I325" i="1"/>
  <c r="J325" i="1"/>
  <c r="K325" i="1"/>
  <c r="L325" i="1"/>
  <c r="M325" i="1"/>
  <c r="N325" i="1"/>
  <c r="P325" i="1"/>
  <c r="Q325" i="1"/>
  <c r="R325" i="1"/>
  <c r="T325" i="1"/>
  <c r="U325" i="1"/>
  <c r="V325" i="1"/>
  <c r="X325" i="1"/>
  <c r="A326" i="1"/>
  <c r="N326" i="1" s="1"/>
  <c r="B326" i="1"/>
  <c r="C326" i="1"/>
  <c r="D326" i="1"/>
  <c r="E326" i="1"/>
  <c r="F326" i="1"/>
  <c r="G326" i="1"/>
  <c r="H326" i="1"/>
  <c r="I326" i="1"/>
  <c r="J326" i="1"/>
  <c r="K326" i="1"/>
  <c r="L326" i="1"/>
  <c r="M326" i="1"/>
  <c r="P326" i="1"/>
  <c r="R326" i="1"/>
  <c r="U326" i="1"/>
  <c r="X326" i="1"/>
  <c r="A327" i="1"/>
  <c r="B327" i="1"/>
  <c r="C327" i="1"/>
  <c r="D327" i="1"/>
  <c r="E327" i="1"/>
  <c r="F327" i="1"/>
  <c r="G327" i="1"/>
  <c r="H327" i="1"/>
  <c r="I327" i="1"/>
  <c r="J327" i="1"/>
  <c r="K327" i="1"/>
  <c r="L327" i="1"/>
  <c r="M327" i="1"/>
  <c r="N327" i="1"/>
  <c r="Q327" i="1"/>
  <c r="R327" i="1"/>
  <c r="T327" i="1"/>
  <c r="V327" i="1"/>
  <c r="X327" i="1"/>
  <c r="A328" i="1"/>
  <c r="B328" i="1"/>
  <c r="C328" i="1"/>
  <c r="D328" i="1"/>
  <c r="E328" i="1"/>
  <c r="F328" i="1"/>
  <c r="G328" i="1"/>
  <c r="H328" i="1"/>
  <c r="I328" i="1"/>
  <c r="J328" i="1"/>
  <c r="K328" i="1"/>
  <c r="L328" i="1"/>
  <c r="M328" i="1"/>
  <c r="A329" i="1"/>
  <c r="B329" i="1"/>
  <c r="C329" i="1"/>
  <c r="D329" i="1"/>
  <c r="E329" i="1"/>
  <c r="F329" i="1"/>
  <c r="G329" i="1"/>
  <c r="H329" i="1"/>
  <c r="I329" i="1"/>
  <c r="J329" i="1"/>
  <c r="K329" i="1"/>
  <c r="L329" i="1"/>
  <c r="M329" i="1"/>
  <c r="N329" i="1"/>
  <c r="P329" i="1"/>
  <c r="Q329" i="1"/>
  <c r="R329" i="1"/>
  <c r="T329" i="1"/>
  <c r="U329" i="1"/>
  <c r="V329" i="1"/>
  <c r="X329" i="1"/>
  <c r="A330" i="1"/>
  <c r="N330" i="1" s="1"/>
  <c r="B330" i="1"/>
  <c r="C330" i="1"/>
  <c r="D330" i="1"/>
  <c r="E330" i="1"/>
  <c r="F330" i="1"/>
  <c r="G330" i="1"/>
  <c r="H330" i="1"/>
  <c r="I330" i="1"/>
  <c r="J330" i="1"/>
  <c r="K330" i="1"/>
  <c r="L330" i="1"/>
  <c r="M330" i="1"/>
  <c r="P330" i="1"/>
  <c r="R330" i="1"/>
  <c r="U330" i="1"/>
  <c r="X330" i="1"/>
  <c r="A331" i="1"/>
  <c r="B331" i="1"/>
  <c r="C331" i="1"/>
  <c r="D331" i="1"/>
  <c r="E331" i="1"/>
  <c r="F331" i="1"/>
  <c r="G331" i="1"/>
  <c r="H331" i="1"/>
  <c r="I331" i="1"/>
  <c r="J331" i="1"/>
  <c r="K331" i="1"/>
  <c r="L331" i="1"/>
  <c r="M331" i="1"/>
  <c r="N331" i="1"/>
  <c r="Q331" i="1"/>
  <c r="R331" i="1"/>
  <c r="T331" i="1"/>
  <c r="V331" i="1"/>
  <c r="X331" i="1"/>
  <c r="A332" i="1"/>
  <c r="X332" i="1" s="1"/>
  <c r="B332" i="1"/>
  <c r="C332" i="1"/>
  <c r="D332" i="1"/>
  <c r="E332" i="1"/>
  <c r="F332" i="1"/>
  <c r="G332" i="1"/>
  <c r="H332" i="1"/>
  <c r="I332" i="1"/>
  <c r="J332" i="1"/>
  <c r="K332" i="1"/>
  <c r="L332" i="1"/>
  <c r="M332" i="1"/>
  <c r="A333" i="1"/>
  <c r="B333" i="1"/>
  <c r="C333" i="1"/>
  <c r="D333" i="1"/>
  <c r="E333" i="1"/>
  <c r="F333" i="1"/>
  <c r="G333" i="1"/>
  <c r="H333" i="1"/>
  <c r="I333" i="1"/>
  <c r="J333" i="1"/>
  <c r="K333" i="1"/>
  <c r="L333" i="1"/>
  <c r="M333" i="1"/>
  <c r="N333" i="1"/>
  <c r="P333" i="1"/>
  <c r="Q333" i="1"/>
  <c r="R333" i="1"/>
  <c r="T333" i="1"/>
  <c r="U333" i="1"/>
  <c r="V333" i="1"/>
  <c r="X333" i="1"/>
  <c r="A334" i="1"/>
  <c r="N334" i="1" s="1"/>
  <c r="B334" i="1"/>
  <c r="C334" i="1"/>
  <c r="D334" i="1"/>
  <c r="E334" i="1"/>
  <c r="F334" i="1"/>
  <c r="G334" i="1"/>
  <c r="H334" i="1"/>
  <c r="I334" i="1"/>
  <c r="J334" i="1"/>
  <c r="K334" i="1"/>
  <c r="L334" i="1"/>
  <c r="M334" i="1"/>
  <c r="P334" i="1"/>
  <c r="R334" i="1"/>
  <c r="U334" i="1"/>
  <c r="X334" i="1"/>
  <c r="A335" i="1"/>
  <c r="B335" i="1"/>
  <c r="C335" i="1"/>
  <c r="D335" i="1"/>
  <c r="E335" i="1"/>
  <c r="F335" i="1"/>
  <c r="G335" i="1"/>
  <c r="H335" i="1"/>
  <c r="I335" i="1"/>
  <c r="J335" i="1"/>
  <c r="K335" i="1"/>
  <c r="L335" i="1"/>
  <c r="M335" i="1"/>
  <c r="N335" i="1"/>
  <c r="Q335" i="1"/>
  <c r="R335" i="1"/>
  <c r="T335" i="1"/>
  <c r="V335" i="1"/>
  <c r="X335" i="1"/>
  <c r="A336" i="1"/>
  <c r="B336" i="1"/>
  <c r="C336" i="1"/>
  <c r="D336" i="1"/>
  <c r="E336" i="1"/>
  <c r="F336" i="1"/>
  <c r="G336" i="1"/>
  <c r="H336" i="1"/>
  <c r="I336" i="1"/>
  <c r="J336" i="1"/>
  <c r="K336" i="1"/>
  <c r="L336" i="1"/>
  <c r="M336" i="1"/>
  <c r="A337" i="1"/>
  <c r="B337" i="1"/>
  <c r="C337" i="1"/>
  <c r="D337" i="1"/>
  <c r="E337" i="1"/>
  <c r="F337" i="1"/>
  <c r="G337" i="1"/>
  <c r="H337" i="1"/>
  <c r="I337" i="1"/>
  <c r="J337" i="1"/>
  <c r="K337" i="1"/>
  <c r="L337" i="1"/>
  <c r="M337" i="1"/>
  <c r="N337" i="1"/>
  <c r="P337" i="1"/>
  <c r="Q337" i="1"/>
  <c r="R337" i="1"/>
  <c r="T337" i="1"/>
  <c r="U337" i="1"/>
  <c r="V337" i="1"/>
  <c r="X337" i="1"/>
  <c r="A338" i="1"/>
  <c r="N338" i="1" s="1"/>
  <c r="B338" i="1"/>
  <c r="C338" i="1"/>
  <c r="D338" i="1"/>
  <c r="E338" i="1"/>
  <c r="F338" i="1"/>
  <c r="G338" i="1"/>
  <c r="H338" i="1"/>
  <c r="I338" i="1"/>
  <c r="J338" i="1"/>
  <c r="K338" i="1"/>
  <c r="L338" i="1"/>
  <c r="M338" i="1"/>
  <c r="P338" i="1"/>
  <c r="R338" i="1"/>
  <c r="U338" i="1"/>
  <c r="X338" i="1"/>
  <c r="A339" i="1"/>
  <c r="B339" i="1"/>
  <c r="C339" i="1"/>
  <c r="D339" i="1"/>
  <c r="E339" i="1"/>
  <c r="F339" i="1"/>
  <c r="G339" i="1"/>
  <c r="H339" i="1"/>
  <c r="I339" i="1"/>
  <c r="J339" i="1"/>
  <c r="K339" i="1"/>
  <c r="L339" i="1"/>
  <c r="M339" i="1"/>
  <c r="N339" i="1"/>
  <c r="Q339" i="1"/>
  <c r="R339" i="1"/>
  <c r="T339" i="1"/>
  <c r="V339" i="1"/>
  <c r="X339" i="1"/>
  <c r="A340" i="1"/>
  <c r="B340" i="1"/>
  <c r="C340" i="1"/>
  <c r="D340" i="1"/>
  <c r="E340" i="1"/>
  <c r="F340" i="1"/>
  <c r="G340" i="1"/>
  <c r="H340" i="1"/>
  <c r="I340" i="1"/>
  <c r="J340" i="1"/>
  <c r="K340" i="1"/>
  <c r="L340" i="1"/>
  <c r="M340" i="1"/>
  <c r="A341" i="1"/>
  <c r="B341" i="1"/>
  <c r="C341" i="1"/>
  <c r="D341" i="1"/>
  <c r="E341" i="1"/>
  <c r="F341" i="1"/>
  <c r="G341" i="1"/>
  <c r="H341" i="1"/>
  <c r="I341" i="1"/>
  <c r="J341" i="1"/>
  <c r="K341" i="1"/>
  <c r="L341" i="1"/>
  <c r="M341" i="1"/>
  <c r="N341" i="1"/>
  <c r="P341" i="1"/>
  <c r="Q341" i="1"/>
  <c r="R341" i="1"/>
  <c r="T341" i="1"/>
  <c r="U341" i="1"/>
  <c r="V341" i="1"/>
  <c r="X341" i="1"/>
  <c r="A342" i="1"/>
  <c r="N342" i="1" s="1"/>
  <c r="B342" i="1"/>
  <c r="C342" i="1"/>
  <c r="D342" i="1"/>
  <c r="E342" i="1"/>
  <c r="F342" i="1"/>
  <c r="G342" i="1"/>
  <c r="H342" i="1"/>
  <c r="I342" i="1"/>
  <c r="J342" i="1"/>
  <c r="K342" i="1"/>
  <c r="L342" i="1"/>
  <c r="M342" i="1"/>
  <c r="P342" i="1"/>
  <c r="R342" i="1"/>
  <c r="U342" i="1"/>
  <c r="X342" i="1"/>
  <c r="A343" i="1"/>
  <c r="B343" i="1"/>
  <c r="C343" i="1"/>
  <c r="D343" i="1"/>
  <c r="E343" i="1"/>
  <c r="F343" i="1"/>
  <c r="G343" i="1"/>
  <c r="H343" i="1"/>
  <c r="I343" i="1"/>
  <c r="J343" i="1"/>
  <c r="K343" i="1"/>
  <c r="L343" i="1"/>
  <c r="M343" i="1"/>
  <c r="N343" i="1"/>
  <c r="Q343" i="1"/>
  <c r="R343" i="1"/>
  <c r="T343" i="1"/>
  <c r="V343" i="1"/>
  <c r="X343" i="1"/>
  <c r="A344" i="1"/>
  <c r="B344" i="1"/>
  <c r="C344" i="1"/>
  <c r="D344" i="1"/>
  <c r="E344" i="1"/>
  <c r="F344" i="1"/>
  <c r="G344" i="1"/>
  <c r="H344" i="1"/>
  <c r="I344" i="1"/>
  <c r="J344" i="1"/>
  <c r="K344" i="1"/>
  <c r="L344" i="1"/>
  <c r="M344" i="1"/>
  <c r="A345" i="1"/>
  <c r="B345" i="1"/>
  <c r="C345" i="1"/>
  <c r="D345" i="1"/>
  <c r="E345" i="1"/>
  <c r="F345" i="1"/>
  <c r="G345" i="1"/>
  <c r="H345" i="1"/>
  <c r="I345" i="1"/>
  <c r="J345" i="1"/>
  <c r="K345" i="1"/>
  <c r="L345" i="1"/>
  <c r="M345" i="1"/>
  <c r="N345" i="1"/>
  <c r="P345" i="1"/>
  <c r="Q345" i="1"/>
  <c r="R345" i="1"/>
  <c r="T345" i="1"/>
  <c r="U345" i="1"/>
  <c r="V345" i="1"/>
  <c r="X345" i="1"/>
  <c r="A346" i="1"/>
  <c r="N346" i="1" s="1"/>
  <c r="B346" i="1"/>
  <c r="C346" i="1"/>
  <c r="D346" i="1"/>
  <c r="E346" i="1"/>
  <c r="F346" i="1"/>
  <c r="G346" i="1"/>
  <c r="H346" i="1"/>
  <c r="I346" i="1"/>
  <c r="J346" i="1"/>
  <c r="K346" i="1"/>
  <c r="L346" i="1"/>
  <c r="M346" i="1"/>
  <c r="P346" i="1"/>
  <c r="R346" i="1"/>
  <c r="U346" i="1"/>
  <c r="X346" i="1"/>
  <c r="A347" i="1"/>
  <c r="B347" i="1"/>
  <c r="C347" i="1"/>
  <c r="D347" i="1"/>
  <c r="E347" i="1"/>
  <c r="F347" i="1"/>
  <c r="G347" i="1"/>
  <c r="H347" i="1"/>
  <c r="I347" i="1"/>
  <c r="J347" i="1"/>
  <c r="K347" i="1"/>
  <c r="L347" i="1"/>
  <c r="M347" i="1"/>
  <c r="N347" i="1"/>
  <c r="Q347" i="1"/>
  <c r="R347" i="1"/>
  <c r="T347" i="1"/>
  <c r="V347" i="1"/>
  <c r="X347" i="1"/>
  <c r="A348" i="1"/>
  <c r="X348" i="1" s="1"/>
  <c r="B348" i="1"/>
  <c r="C348" i="1"/>
  <c r="D348" i="1"/>
  <c r="E348" i="1"/>
  <c r="F348" i="1"/>
  <c r="G348" i="1"/>
  <c r="H348" i="1"/>
  <c r="I348" i="1"/>
  <c r="J348" i="1"/>
  <c r="K348" i="1"/>
  <c r="L348" i="1"/>
  <c r="M348" i="1"/>
  <c r="A349" i="1"/>
  <c r="B349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P349" i="1"/>
  <c r="Q349" i="1"/>
  <c r="R349" i="1"/>
  <c r="T349" i="1"/>
  <c r="U349" i="1"/>
  <c r="V349" i="1"/>
  <c r="X349" i="1"/>
  <c r="A350" i="1"/>
  <c r="N350" i="1" s="1"/>
  <c r="B350" i="1"/>
  <c r="C350" i="1"/>
  <c r="D350" i="1"/>
  <c r="E350" i="1"/>
  <c r="F350" i="1"/>
  <c r="G350" i="1"/>
  <c r="H350" i="1"/>
  <c r="I350" i="1"/>
  <c r="J350" i="1"/>
  <c r="K350" i="1"/>
  <c r="L350" i="1"/>
  <c r="M350" i="1"/>
  <c r="P350" i="1"/>
  <c r="R350" i="1"/>
  <c r="U350" i="1"/>
  <c r="X350" i="1"/>
  <c r="A351" i="1"/>
  <c r="B351" i="1"/>
  <c r="C351" i="1"/>
  <c r="D351" i="1"/>
  <c r="E351" i="1"/>
  <c r="F351" i="1"/>
  <c r="G351" i="1"/>
  <c r="H351" i="1"/>
  <c r="I351" i="1"/>
  <c r="J351" i="1"/>
  <c r="K351" i="1"/>
  <c r="L351" i="1"/>
  <c r="M351" i="1"/>
  <c r="N351" i="1"/>
  <c r="Q351" i="1"/>
  <c r="R351" i="1"/>
  <c r="T351" i="1"/>
  <c r="V351" i="1"/>
  <c r="X351" i="1"/>
  <c r="A352" i="1"/>
  <c r="X352" i="1" s="1"/>
  <c r="B352" i="1"/>
  <c r="C352" i="1"/>
  <c r="D352" i="1"/>
  <c r="E352" i="1"/>
  <c r="F352" i="1"/>
  <c r="G352" i="1"/>
  <c r="H352" i="1"/>
  <c r="I352" i="1"/>
  <c r="J352" i="1"/>
  <c r="K352" i="1"/>
  <c r="L352" i="1"/>
  <c r="M352" i="1"/>
  <c r="A353" i="1"/>
  <c r="B353" i="1"/>
  <c r="C353" i="1"/>
  <c r="D353" i="1"/>
  <c r="E353" i="1"/>
  <c r="F353" i="1"/>
  <c r="G353" i="1"/>
  <c r="H353" i="1"/>
  <c r="I353" i="1"/>
  <c r="J353" i="1"/>
  <c r="K353" i="1"/>
  <c r="L353" i="1"/>
  <c r="M353" i="1"/>
  <c r="N353" i="1"/>
  <c r="P353" i="1"/>
  <c r="Q353" i="1"/>
  <c r="R353" i="1"/>
  <c r="T353" i="1"/>
  <c r="U353" i="1"/>
  <c r="V353" i="1"/>
  <c r="X353" i="1"/>
  <c r="A354" i="1"/>
  <c r="N354" i="1" s="1"/>
  <c r="B354" i="1"/>
  <c r="C354" i="1"/>
  <c r="D354" i="1"/>
  <c r="E354" i="1"/>
  <c r="F354" i="1"/>
  <c r="G354" i="1"/>
  <c r="H354" i="1"/>
  <c r="I354" i="1"/>
  <c r="J354" i="1"/>
  <c r="K354" i="1"/>
  <c r="L354" i="1"/>
  <c r="M354" i="1"/>
  <c r="P354" i="1"/>
  <c r="R354" i="1"/>
  <c r="U354" i="1"/>
  <c r="X354" i="1"/>
  <c r="A355" i="1"/>
  <c r="B355" i="1"/>
  <c r="C355" i="1"/>
  <c r="D355" i="1"/>
  <c r="E355" i="1"/>
  <c r="F355" i="1"/>
  <c r="G355" i="1"/>
  <c r="H355" i="1"/>
  <c r="I355" i="1"/>
  <c r="J355" i="1"/>
  <c r="K355" i="1"/>
  <c r="L355" i="1"/>
  <c r="M355" i="1"/>
  <c r="N355" i="1"/>
  <c r="Q355" i="1"/>
  <c r="R355" i="1"/>
  <c r="T355" i="1"/>
  <c r="V355" i="1"/>
  <c r="X355" i="1"/>
  <c r="A356" i="1"/>
  <c r="X356" i="1" s="1"/>
  <c r="B356" i="1"/>
  <c r="C356" i="1"/>
  <c r="D356" i="1"/>
  <c r="E356" i="1"/>
  <c r="F356" i="1"/>
  <c r="G356" i="1"/>
  <c r="H356" i="1"/>
  <c r="I356" i="1"/>
  <c r="J356" i="1"/>
  <c r="K356" i="1"/>
  <c r="L356" i="1"/>
  <c r="M356" i="1"/>
  <c r="A357" i="1"/>
  <c r="B357" i="1"/>
  <c r="C357" i="1"/>
  <c r="D357" i="1"/>
  <c r="E357" i="1"/>
  <c r="F357" i="1"/>
  <c r="G357" i="1"/>
  <c r="H357" i="1"/>
  <c r="I357" i="1"/>
  <c r="J357" i="1"/>
  <c r="K357" i="1"/>
  <c r="L357" i="1"/>
  <c r="M357" i="1"/>
  <c r="N357" i="1"/>
  <c r="P357" i="1"/>
  <c r="Q357" i="1"/>
  <c r="R357" i="1"/>
  <c r="T357" i="1"/>
  <c r="U357" i="1"/>
  <c r="V357" i="1"/>
  <c r="X357" i="1"/>
  <c r="A358" i="1"/>
  <c r="N358" i="1" s="1"/>
  <c r="B358" i="1"/>
  <c r="C358" i="1"/>
  <c r="D358" i="1"/>
  <c r="E358" i="1"/>
  <c r="F358" i="1"/>
  <c r="G358" i="1"/>
  <c r="H358" i="1"/>
  <c r="I358" i="1"/>
  <c r="J358" i="1"/>
  <c r="K358" i="1"/>
  <c r="L358" i="1"/>
  <c r="M358" i="1"/>
  <c r="P358" i="1"/>
  <c r="R358" i="1"/>
  <c r="U358" i="1"/>
  <c r="X358" i="1"/>
  <c r="A359" i="1"/>
  <c r="B359" i="1"/>
  <c r="C359" i="1"/>
  <c r="D359" i="1"/>
  <c r="E359" i="1"/>
  <c r="F359" i="1"/>
  <c r="G359" i="1"/>
  <c r="H359" i="1"/>
  <c r="I359" i="1"/>
  <c r="J359" i="1"/>
  <c r="K359" i="1"/>
  <c r="L359" i="1"/>
  <c r="M359" i="1"/>
  <c r="N359" i="1"/>
  <c r="Q359" i="1"/>
  <c r="R359" i="1"/>
  <c r="T359" i="1"/>
  <c r="V359" i="1"/>
  <c r="X359" i="1"/>
  <c r="A360" i="1"/>
  <c r="B360" i="1"/>
  <c r="C360" i="1"/>
  <c r="D360" i="1"/>
  <c r="E360" i="1"/>
  <c r="F360" i="1"/>
  <c r="G360" i="1"/>
  <c r="H360" i="1"/>
  <c r="I360" i="1"/>
  <c r="J360" i="1"/>
  <c r="K360" i="1"/>
  <c r="L360" i="1"/>
  <c r="M360" i="1"/>
  <c r="A361" i="1"/>
  <c r="B361" i="1"/>
  <c r="C361" i="1"/>
  <c r="D361" i="1"/>
  <c r="E361" i="1"/>
  <c r="F361" i="1"/>
  <c r="G361" i="1"/>
  <c r="H361" i="1"/>
  <c r="I361" i="1"/>
  <c r="J361" i="1"/>
  <c r="K361" i="1"/>
  <c r="L361" i="1"/>
  <c r="M361" i="1"/>
  <c r="N361" i="1"/>
  <c r="P361" i="1"/>
  <c r="Q361" i="1"/>
  <c r="R361" i="1"/>
  <c r="T361" i="1"/>
  <c r="U361" i="1"/>
  <c r="V361" i="1"/>
  <c r="X361" i="1"/>
  <c r="A362" i="1"/>
  <c r="N362" i="1" s="1"/>
  <c r="B362" i="1"/>
  <c r="C362" i="1"/>
  <c r="D362" i="1"/>
  <c r="E362" i="1"/>
  <c r="F362" i="1"/>
  <c r="G362" i="1"/>
  <c r="H362" i="1"/>
  <c r="I362" i="1"/>
  <c r="J362" i="1"/>
  <c r="K362" i="1"/>
  <c r="L362" i="1"/>
  <c r="M362" i="1"/>
  <c r="P362" i="1"/>
  <c r="R362" i="1"/>
  <c r="U362" i="1"/>
  <c r="X362" i="1"/>
  <c r="A363" i="1"/>
  <c r="B363" i="1"/>
  <c r="C363" i="1"/>
  <c r="D363" i="1"/>
  <c r="E363" i="1"/>
  <c r="F363" i="1"/>
  <c r="G363" i="1"/>
  <c r="H363" i="1"/>
  <c r="I363" i="1"/>
  <c r="J363" i="1"/>
  <c r="K363" i="1"/>
  <c r="L363" i="1"/>
  <c r="M363" i="1"/>
  <c r="N363" i="1"/>
  <c r="Q363" i="1"/>
  <c r="R363" i="1"/>
  <c r="T363" i="1"/>
  <c r="V363" i="1"/>
  <c r="X363" i="1"/>
  <c r="A364" i="1"/>
  <c r="X364" i="1" s="1"/>
  <c r="B364" i="1"/>
  <c r="C364" i="1"/>
  <c r="D364" i="1"/>
  <c r="E364" i="1"/>
  <c r="F364" i="1"/>
  <c r="G364" i="1"/>
  <c r="H364" i="1"/>
  <c r="I364" i="1"/>
  <c r="J364" i="1"/>
  <c r="K364" i="1"/>
  <c r="L364" i="1"/>
  <c r="M364" i="1"/>
  <c r="A365" i="1"/>
  <c r="B365" i="1"/>
  <c r="C365" i="1"/>
  <c r="D365" i="1"/>
  <c r="E365" i="1"/>
  <c r="F365" i="1"/>
  <c r="G365" i="1"/>
  <c r="H365" i="1"/>
  <c r="I365" i="1"/>
  <c r="J365" i="1"/>
  <c r="K365" i="1"/>
  <c r="L365" i="1"/>
  <c r="M365" i="1"/>
  <c r="N365" i="1"/>
  <c r="P365" i="1"/>
  <c r="Q365" i="1"/>
  <c r="R365" i="1"/>
  <c r="T365" i="1"/>
  <c r="U365" i="1"/>
  <c r="V365" i="1"/>
  <c r="X365" i="1"/>
  <c r="A366" i="1"/>
  <c r="N366" i="1" s="1"/>
  <c r="B366" i="1"/>
  <c r="C366" i="1"/>
  <c r="D366" i="1"/>
  <c r="E366" i="1"/>
  <c r="F366" i="1"/>
  <c r="G366" i="1"/>
  <c r="H366" i="1"/>
  <c r="I366" i="1"/>
  <c r="J366" i="1"/>
  <c r="K366" i="1"/>
  <c r="L366" i="1"/>
  <c r="M366" i="1"/>
  <c r="P366" i="1"/>
  <c r="R366" i="1"/>
  <c r="U366" i="1"/>
  <c r="X366" i="1"/>
  <c r="A367" i="1"/>
  <c r="B367" i="1"/>
  <c r="C367" i="1"/>
  <c r="D367" i="1"/>
  <c r="E367" i="1"/>
  <c r="F367" i="1"/>
  <c r="G367" i="1"/>
  <c r="H367" i="1"/>
  <c r="I367" i="1"/>
  <c r="J367" i="1"/>
  <c r="K367" i="1"/>
  <c r="L367" i="1"/>
  <c r="M367" i="1"/>
  <c r="N367" i="1"/>
  <c r="Q367" i="1"/>
  <c r="R367" i="1"/>
  <c r="T367" i="1"/>
  <c r="V367" i="1"/>
  <c r="X367" i="1"/>
  <c r="A368" i="1"/>
  <c r="M368" i="1" s="1"/>
  <c r="B368" i="1"/>
  <c r="C368" i="1"/>
  <c r="D368" i="1"/>
  <c r="E368" i="1"/>
  <c r="F368" i="1"/>
  <c r="G368" i="1"/>
  <c r="H368" i="1"/>
  <c r="I368" i="1"/>
  <c r="J368" i="1"/>
  <c r="K368" i="1"/>
  <c r="L368" i="1"/>
  <c r="A369" i="1"/>
  <c r="B369" i="1"/>
  <c r="C369" i="1"/>
  <c r="D369" i="1"/>
  <c r="E369" i="1"/>
  <c r="F369" i="1"/>
  <c r="G369" i="1"/>
  <c r="H369" i="1"/>
  <c r="I369" i="1"/>
  <c r="J369" i="1"/>
  <c r="K369" i="1"/>
  <c r="L369" i="1"/>
  <c r="M369" i="1"/>
  <c r="N369" i="1"/>
  <c r="P369" i="1"/>
  <c r="Q369" i="1"/>
  <c r="R369" i="1"/>
  <c r="T369" i="1"/>
  <c r="U369" i="1"/>
  <c r="V369" i="1"/>
  <c r="X369" i="1"/>
  <c r="A370" i="1"/>
  <c r="N370" i="1" s="1"/>
  <c r="B370" i="1"/>
  <c r="C370" i="1"/>
  <c r="D370" i="1"/>
  <c r="E370" i="1"/>
  <c r="F370" i="1"/>
  <c r="G370" i="1"/>
  <c r="H370" i="1"/>
  <c r="I370" i="1"/>
  <c r="J370" i="1"/>
  <c r="K370" i="1"/>
  <c r="L370" i="1"/>
  <c r="M370" i="1"/>
  <c r="P370" i="1"/>
  <c r="R370" i="1"/>
  <c r="U370" i="1"/>
  <c r="X370" i="1"/>
  <c r="A371" i="1"/>
  <c r="B371" i="1"/>
  <c r="C371" i="1"/>
  <c r="D371" i="1"/>
  <c r="E371" i="1"/>
  <c r="F371" i="1"/>
  <c r="G371" i="1"/>
  <c r="H371" i="1"/>
  <c r="I371" i="1"/>
  <c r="J371" i="1"/>
  <c r="K371" i="1"/>
  <c r="L371" i="1"/>
  <c r="M371" i="1"/>
  <c r="N371" i="1"/>
  <c r="Q371" i="1"/>
  <c r="R371" i="1"/>
  <c r="T371" i="1"/>
  <c r="V371" i="1"/>
  <c r="X371" i="1"/>
  <c r="A372" i="1"/>
  <c r="X372" i="1" s="1"/>
  <c r="B372" i="1"/>
  <c r="C372" i="1"/>
  <c r="D372" i="1"/>
  <c r="E372" i="1"/>
  <c r="F372" i="1"/>
  <c r="G372" i="1"/>
  <c r="H372" i="1"/>
  <c r="I372" i="1"/>
  <c r="J372" i="1"/>
  <c r="K372" i="1"/>
  <c r="L372" i="1"/>
  <c r="M372" i="1"/>
  <c r="A373" i="1"/>
  <c r="B373" i="1"/>
  <c r="C373" i="1"/>
  <c r="D373" i="1"/>
  <c r="F373" i="1"/>
  <c r="G373" i="1"/>
  <c r="E373" i="1" s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A374" i="1"/>
  <c r="B374" i="1"/>
  <c r="C374" i="1"/>
  <c r="D374" i="1"/>
  <c r="F374" i="1"/>
  <c r="G374" i="1"/>
  <c r="E374" i="1" s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A375" i="1"/>
  <c r="B375" i="1"/>
  <c r="C375" i="1"/>
  <c r="D375" i="1"/>
  <c r="F375" i="1"/>
  <c r="G375" i="1"/>
  <c r="E375" i="1" s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A376" i="1"/>
  <c r="B376" i="1"/>
  <c r="C376" i="1"/>
  <c r="D376" i="1"/>
  <c r="F376" i="1"/>
  <c r="G376" i="1"/>
  <c r="E376" i="1" s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A377" i="1"/>
  <c r="B377" i="1"/>
  <c r="C377" i="1"/>
  <c r="D377" i="1"/>
  <c r="F377" i="1"/>
  <c r="G377" i="1"/>
  <c r="E377" i="1" s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A378" i="1"/>
  <c r="B378" i="1"/>
  <c r="C378" i="1"/>
  <c r="D378" i="1"/>
  <c r="F378" i="1"/>
  <c r="G378" i="1"/>
  <c r="E378" i="1" s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A379" i="1"/>
  <c r="B379" i="1"/>
  <c r="C379" i="1"/>
  <c r="D379" i="1"/>
  <c r="F379" i="1"/>
  <c r="G379" i="1"/>
  <c r="E379" i="1" s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A380" i="1"/>
  <c r="B380" i="1"/>
  <c r="C380" i="1"/>
  <c r="D380" i="1"/>
  <c r="F380" i="1"/>
  <c r="G380" i="1"/>
  <c r="E380" i="1" s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A381" i="1"/>
  <c r="B381" i="1"/>
  <c r="C381" i="1"/>
  <c r="D381" i="1"/>
  <c r="F381" i="1"/>
  <c r="G381" i="1"/>
  <c r="E381" i="1" s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A382" i="1"/>
  <c r="B382" i="1"/>
  <c r="C382" i="1"/>
  <c r="D382" i="1"/>
  <c r="F382" i="1"/>
  <c r="G382" i="1"/>
  <c r="E382" i="1" s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A383" i="1"/>
  <c r="B383" i="1"/>
  <c r="C383" i="1"/>
  <c r="D383" i="1"/>
  <c r="F383" i="1"/>
  <c r="G383" i="1"/>
  <c r="E383" i="1" s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A384" i="1"/>
  <c r="B384" i="1"/>
  <c r="C384" i="1"/>
  <c r="D384" i="1"/>
  <c r="F384" i="1"/>
  <c r="G384" i="1"/>
  <c r="E384" i="1" s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A385" i="1"/>
  <c r="B385" i="1"/>
  <c r="C385" i="1"/>
  <c r="D385" i="1"/>
  <c r="F385" i="1"/>
  <c r="G385" i="1"/>
  <c r="E385" i="1" s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A386" i="1"/>
  <c r="B386" i="1"/>
  <c r="C386" i="1"/>
  <c r="D386" i="1"/>
  <c r="F386" i="1"/>
  <c r="G386" i="1"/>
  <c r="E386" i="1" s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A387" i="1"/>
  <c r="B387" i="1"/>
  <c r="C387" i="1"/>
  <c r="D387" i="1"/>
  <c r="F387" i="1"/>
  <c r="G387" i="1"/>
  <c r="E387" i="1" s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A388" i="1"/>
  <c r="B388" i="1"/>
  <c r="C388" i="1"/>
  <c r="D388" i="1"/>
  <c r="F388" i="1"/>
  <c r="G388" i="1"/>
  <c r="E388" i="1" s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A389" i="1"/>
  <c r="B389" i="1"/>
  <c r="C389" i="1"/>
  <c r="D389" i="1"/>
  <c r="F389" i="1"/>
  <c r="G389" i="1"/>
  <c r="E389" i="1" s="1"/>
  <c r="H389" i="1"/>
  <c r="I389" i="1"/>
  <c r="J389" i="1"/>
  <c r="K389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A390" i="1"/>
  <c r="B390" i="1"/>
  <c r="C390" i="1"/>
  <c r="D390" i="1"/>
  <c r="F390" i="1"/>
  <c r="G390" i="1"/>
  <c r="E390" i="1" s="1"/>
  <c r="H390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A391" i="1"/>
  <c r="B391" i="1"/>
  <c r="C391" i="1"/>
  <c r="D391" i="1"/>
  <c r="F391" i="1"/>
  <c r="G391" i="1"/>
  <c r="E391" i="1" s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A392" i="1"/>
  <c r="B392" i="1"/>
  <c r="C392" i="1"/>
  <c r="D392" i="1"/>
  <c r="F392" i="1"/>
  <c r="G392" i="1"/>
  <c r="E392" i="1" s="1"/>
  <c r="H392" i="1"/>
  <c r="I392" i="1"/>
  <c r="J392" i="1"/>
  <c r="K392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A393" i="1"/>
  <c r="B393" i="1"/>
  <c r="C393" i="1"/>
  <c r="D393" i="1"/>
  <c r="F393" i="1"/>
  <c r="G393" i="1"/>
  <c r="E393" i="1" s="1"/>
  <c r="H393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A394" i="1"/>
  <c r="B394" i="1"/>
  <c r="C394" i="1"/>
  <c r="D394" i="1"/>
  <c r="F394" i="1"/>
  <c r="G394" i="1"/>
  <c r="E394" i="1" s="1"/>
  <c r="H394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A395" i="1"/>
  <c r="B395" i="1"/>
  <c r="C395" i="1"/>
  <c r="D395" i="1"/>
  <c r="F395" i="1"/>
  <c r="G395" i="1"/>
  <c r="E395" i="1" s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A396" i="1"/>
  <c r="B396" i="1"/>
  <c r="C396" i="1"/>
  <c r="D396" i="1"/>
  <c r="F396" i="1"/>
  <c r="G396" i="1"/>
  <c r="E396" i="1" s="1"/>
  <c r="H396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A397" i="1"/>
  <c r="B397" i="1"/>
  <c r="C397" i="1"/>
  <c r="D397" i="1"/>
  <c r="F397" i="1"/>
  <c r="G397" i="1"/>
  <c r="E397" i="1" s="1"/>
  <c r="H397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A398" i="1"/>
  <c r="B398" i="1"/>
  <c r="C398" i="1"/>
  <c r="D398" i="1"/>
  <c r="F398" i="1"/>
  <c r="G398" i="1"/>
  <c r="E398" i="1" s="1"/>
  <c r="H398" i="1"/>
  <c r="I398" i="1"/>
  <c r="J398" i="1"/>
  <c r="K398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A399" i="1"/>
  <c r="B399" i="1"/>
  <c r="C399" i="1"/>
  <c r="D399" i="1"/>
  <c r="F399" i="1"/>
  <c r="G399" i="1"/>
  <c r="E399" i="1" s="1"/>
  <c r="H399" i="1"/>
  <c r="I399" i="1"/>
  <c r="J399" i="1"/>
  <c r="K399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A400" i="1"/>
  <c r="B400" i="1"/>
  <c r="C400" i="1"/>
  <c r="D400" i="1"/>
  <c r="F400" i="1"/>
  <c r="G400" i="1"/>
  <c r="E400" i="1" s="1"/>
  <c r="H400" i="1"/>
  <c r="I400" i="1"/>
  <c r="J400" i="1"/>
  <c r="K400" i="1"/>
  <c r="L400" i="1"/>
  <c r="M400" i="1"/>
  <c r="N400" i="1"/>
  <c r="O400" i="1"/>
  <c r="P400" i="1"/>
  <c r="Q400" i="1"/>
  <c r="R400" i="1"/>
  <c r="S400" i="1"/>
  <c r="T400" i="1"/>
  <c r="U400" i="1"/>
  <c r="V400" i="1"/>
  <c r="W400" i="1"/>
  <c r="X400" i="1"/>
  <c r="A401" i="1"/>
  <c r="B401" i="1"/>
  <c r="C401" i="1"/>
  <c r="D401" i="1"/>
  <c r="F401" i="1"/>
  <c r="G401" i="1"/>
  <c r="E401" i="1" s="1"/>
  <c r="H401" i="1"/>
  <c r="I401" i="1"/>
  <c r="J401" i="1"/>
  <c r="K401" i="1"/>
  <c r="L401" i="1"/>
  <c r="M401" i="1"/>
  <c r="N401" i="1"/>
  <c r="O401" i="1"/>
  <c r="P401" i="1"/>
  <c r="Q401" i="1"/>
  <c r="R401" i="1"/>
  <c r="S401" i="1"/>
  <c r="T401" i="1"/>
  <c r="U401" i="1"/>
  <c r="V401" i="1"/>
  <c r="W401" i="1"/>
  <c r="X401" i="1"/>
  <c r="A402" i="1"/>
  <c r="B402" i="1"/>
  <c r="C402" i="1"/>
  <c r="D402" i="1"/>
  <c r="F402" i="1"/>
  <c r="G402" i="1"/>
  <c r="E402" i="1" s="1"/>
  <c r="H402" i="1"/>
  <c r="I402" i="1"/>
  <c r="J402" i="1"/>
  <c r="K402" i="1"/>
  <c r="L402" i="1"/>
  <c r="M402" i="1"/>
  <c r="N402" i="1"/>
  <c r="O402" i="1"/>
  <c r="P402" i="1"/>
  <c r="Q402" i="1"/>
  <c r="R402" i="1"/>
  <c r="S402" i="1"/>
  <c r="T402" i="1"/>
  <c r="U402" i="1"/>
  <c r="V402" i="1"/>
  <c r="W402" i="1"/>
  <c r="X402" i="1"/>
  <c r="A403" i="1"/>
  <c r="B403" i="1"/>
  <c r="C403" i="1"/>
  <c r="D403" i="1"/>
  <c r="F403" i="1"/>
  <c r="G403" i="1"/>
  <c r="E403" i="1" s="1"/>
  <c r="H403" i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V403" i="1"/>
  <c r="W403" i="1"/>
  <c r="X403" i="1"/>
  <c r="A404" i="1"/>
  <c r="B404" i="1"/>
  <c r="C404" i="1"/>
  <c r="D404" i="1"/>
  <c r="F404" i="1"/>
  <c r="G404" i="1"/>
  <c r="E404" i="1" s="1"/>
  <c r="H404" i="1"/>
  <c r="I404" i="1"/>
  <c r="J404" i="1"/>
  <c r="K404" i="1"/>
  <c r="L404" i="1"/>
  <c r="M404" i="1"/>
  <c r="N404" i="1"/>
  <c r="O404" i="1"/>
  <c r="P404" i="1"/>
  <c r="Q404" i="1"/>
  <c r="R404" i="1"/>
  <c r="S404" i="1"/>
  <c r="T404" i="1"/>
  <c r="U404" i="1"/>
  <c r="V404" i="1"/>
  <c r="W404" i="1"/>
  <c r="X404" i="1"/>
  <c r="A405" i="1"/>
  <c r="B405" i="1"/>
  <c r="C405" i="1"/>
  <c r="D405" i="1"/>
  <c r="F405" i="1"/>
  <c r="G405" i="1"/>
  <c r="E405" i="1" s="1"/>
  <c r="H405" i="1"/>
  <c r="I405" i="1"/>
  <c r="J405" i="1"/>
  <c r="K405" i="1"/>
  <c r="L405" i="1"/>
  <c r="M405" i="1"/>
  <c r="N405" i="1"/>
  <c r="O405" i="1"/>
  <c r="P405" i="1"/>
  <c r="Q405" i="1"/>
  <c r="R405" i="1"/>
  <c r="S405" i="1"/>
  <c r="T405" i="1"/>
  <c r="U405" i="1"/>
  <c r="V405" i="1"/>
  <c r="W405" i="1"/>
  <c r="X405" i="1"/>
  <c r="A406" i="1"/>
  <c r="B406" i="1"/>
  <c r="C406" i="1"/>
  <c r="D406" i="1"/>
  <c r="F406" i="1"/>
  <c r="G406" i="1"/>
  <c r="E406" i="1" s="1"/>
  <c r="H406" i="1"/>
  <c r="I406" i="1"/>
  <c r="J406" i="1"/>
  <c r="K406" i="1"/>
  <c r="L406" i="1"/>
  <c r="M406" i="1"/>
  <c r="N406" i="1"/>
  <c r="O406" i="1"/>
  <c r="P406" i="1"/>
  <c r="Q406" i="1"/>
  <c r="R406" i="1"/>
  <c r="S406" i="1"/>
  <c r="T406" i="1"/>
  <c r="U406" i="1"/>
  <c r="V406" i="1"/>
  <c r="W406" i="1"/>
  <c r="X406" i="1"/>
  <c r="A407" i="1"/>
  <c r="B407" i="1"/>
  <c r="C407" i="1"/>
  <c r="D407" i="1"/>
  <c r="F407" i="1"/>
  <c r="G407" i="1"/>
  <c r="E407" i="1" s="1"/>
  <c r="H407" i="1"/>
  <c r="I407" i="1"/>
  <c r="J407" i="1"/>
  <c r="K407" i="1"/>
  <c r="L407" i="1"/>
  <c r="M407" i="1"/>
  <c r="N407" i="1"/>
  <c r="O407" i="1"/>
  <c r="P407" i="1"/>
  <c r="Q407" i="1"/>
  <c r="R407" i="1"/>
  <c r="S407" i="1"/>
  <c r="T407" i="1"/>
  <c r="U407" i="1"/>
  <c r="V407" i="1"/>
  <c r="W407" i="1"/>
  <c r="X407" i="1"/>
  <c r="A408" i="1"/>
  <c r="B408" i="1"/>
  <c r="C408" i="1"/>
  <c r="D408" i="1"/>
  <c r="F408" i="1"/>
  <c r="G408" i="1"/>
  <c r="E408" i="1" s="1"/>
  <c r="H408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W408" i="1"/>
  <c r="X408" i="1"/>
  <c r="A409" i="1"/>
  <c r="B409" i="1"/>
  <c r="C409" i="1"/>
  <c r="D409" i="1"/>
  <c r="F409" i="1"/>
  <c r="G409" i="1"/>
  <c r="E409" i="1" s="1"/>
  <c r="H409" i="1"/>
  <c r="I409" i="1"/>
  <c r="J409" i="1"/>
  <c r="K409" i="1"/>
  <c r="L409" i="1"/>
  <c r="M409" i="1"/>
  <c r="N409" i="1"/>
  <c r="O409" i="1"/>
  <c r="P409" i="1"/>
  <c r="Q409" i="1"/>
  <c r="R409" i="1"/>
  <c r="S409" i="1"/>
  <c r="T409" i="1"/>
  <c r="U409" i="1"/>
  <c r="V409" i="1"/>
  <c r="W409" i="1"/>
  <c r="X409" i="1"/>
  <c r="A410" i="1"/>
  <c r="B410" i="1"/>
  <c r="C410" i="1"/>
  <c r="D410" i="1"/>
  <c r="F410" i="1"/>
  <c r="G410" i="1"/>
  <c r="E410" i="1" s="1"/>
  <c r="H410" i="1"/>
  <c r="I410" i="1"/>
  <c r="J410" i="1"/>
  <c r="K410" i="1"/>
  <c r="L410" i="1"/>
  <c r="M410" i="1"/>
  <c r="N410" i="1"/>
  <c r="O410" i="1"/>
  <c r="P410" i="1"/>
  <c r="Q410" i="1"/>
  <c r="R410" i="1"/>
  <c r="S410" i="1"/>
  <c r="T410" i="1"/>
  <c r="U410" i="1"/>
  <c r="V410" i="1"/>
  <c r="W410" i="1"/>
  <c r="X410" i="1"/>
  <c r="A411" i="1"/>
  <c r="B411" i="1"/>
  <c r="C411" i="1"/>
  <c r="D411" i="1"/>
  <c r="F411" i="1"/>
  <c r="G411" i="1"/>
  <c r="E411" i="1" s="1"/>
  <c r="H411" i="1"/>
  <c r="I411" i="1"/>
  <c r="J411" i="1"/>
  <c r="K411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A412" i="1"/>
  <c r="B412" i="1"/>
  <c r="C412" i="1"/>
  <c r="D412" i="1"/>
  <c r="F412" i="1"/>
  <c r="G412" i="1"/>
  <c r="E412" i="1" s="1"/>
  <c r="H412" i="1"/>
  <c r="I412" i="1"/>
  <c r="J412" i="1"/>
  <c r="K412" i="1"/>
  <c r="L412" i="1"/>
  <c r="M412" i="1"/>
  <c r="N412" i="1"/>
  <c r="O412" i="1"/>
  <c r="P412" i="1"/>
  <c r="Q412" i="1"/>
  <c r="R412" i="1"/>
  <c r="S412" i="1"/>
  <c r="T412" i="1"/>
  <c r="U412" i="1"/>
  <c r="V412" i="1"/>
  <c r="W412" i="1"/>
  <c r="X412" i="1"/>
  <c r="A413" i="1"/>
  <c r="B413" i="1"/>
  <c r="C413" i="1"/>
  <c r="D413" i="1"/>
  <c r="F413" i="1"/>
  <c r="G413" i="1"/>
  <c r="E413" i="1" s="1"/>
  <c r="H413" i="1"/>
  <c r="I413" i="1"/>
  <c r="J413" i="1"/>
  <c r="K413" i="1"/>
  <c r="L413" i="1"/>
  <c r="M413" i="1"/>
  <c r="N413" i="1"/>
  <c r="O413" i="1"/>
  <c r="P413" i="1"/>
  <c r="Q413" i="1"/>
  <c r="R413" i="1"/>
  <c r="S413" i="1"/>
  <c r="T413" i="1"/>
  <c r="U413" i="1"/>
  <c r="V413" i="1"/>
  <c r="W413" i="1"/>
  <c r="X413" i="1"/>
  <c r="A414" i="1"/>
  <c r="B414" i="1"/>
  <c r="C414" i="1"/>
  <c r="D414" i="1"/>
  <c r="F414" i="1"/>
  <c r="G414" i="1"/>
  <c r="E414" i="1" s="1"/>
  <c r="H414" i="1"/>
  <c r="I414" i="1"/>
  <c r="J414" i="1"/>
  <c r="K414" i="1"/>
  <c r="L414" i="1"/>
  <c r="M414" i="1"/>
  <c r="N414" i="1"/>
  <c r="O414" i="1"/>
  <c r="P414" i="1"/>
  <c r="Q414" i="1"/>
  <c r="R414" i="1"/>
  <c r="S414" i="1"/>
  <c r="T414" i="1"/>
  <c r="U414" i="1"/>
  <c r="V414" i="1"/>
  <c r="W414" i="1"/>
  <c r="X414" i="1"/>
  <c r="A415" i="1"/>
  <c r="B415" i="1"/>
  <c r="C415" i="1"/>
  <c r="D415" i="1"/>
  <c r="F415" i="1"/>
  <c r="G415" i="1"/>
  <c r="E415" i="1" s="1"/>
  <c r="H415" i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V415" i="1"/>
  <c r="W415" i="1"/>
  <c r="X415" i="1"/>
  <c r="A416" i="1"/>
  <c r="B416" i="1"/>
  <c r="C416" i="1"/>
  <c r="D416" i="1"/>
  <c r="F416" i="1"/>
  <c r="G416" i="1"/>
  <c r="E416" i="1" s="1"/>
  <c r="H416" i="1"/>
  <c r="I416" i="1"/>
  <c r="J416" i="1"/>
  <c r="K416" i="1"/>
  <c r="L416" i="1"/>
  <c r="M416" i="1"/>
  <c r="N416" i="1"/>
  <c r="O416" i="1"/>
  <c r="P416" i="1"/>
  <c r="Q416" i="1"/>
  <c r="R416" i="1"/>
  <c r="S416" i="1"/>
  <c r="T416" i="1"/>
  <c r="U416" i="1"/>
  <c r="V416" i="1"/>
  <c r="W416" i="1"/>
  <c r="X416" i="1"/>
  <c r="A417" i="1"/>
  <c r="B417" i="1"/>
  <c r="C417" i="1"/>
  <c r="D417" i="1"/>
  <c r="F417" i="1"/>
  <c r="G417" i="1"/>
  <c r="E417" i="1" s="1"/>
  <c r="H417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X417" i="1"/>
  <c r="A418" i="1"/>
  <c r="B418" i="1"/>
  <c r="C418" i="1"/>
  <c r="D418" i="1"/>
  <c r="F418" i="1"/>
  <c r="G418" i="1"/>
  <c r="E418" i="1" s="1"/>
  <c r="H418" i="1"/>
  <c r="I418" i="1"/>
  <c r="J418" i="1"/>
  <c r="K418" i="1"/>
  <c r="L418" i="1"/>
  <c r="M418" i="1"/>
  <c r="N418" i="1"/>
  <c r="O418" i="1"/>
  <c r="P418" i="1"/>
  <c r="Q418" i="1"/>
  <c r="R418" i="1"/>
  <c r="S418" i="1"/>
  <c r="T418" i="1"/>
  <c r="U418" i="1"/>
  <c r="V418" i="1"/>
  <c r="W418" i="1"/>
  <c r="X418" i="1"/>
  <c r="A419" i="1"/>
  <c r="B419" i="1"/>
  <c r="C419" i="1"/>
  <c r="D419" i="1"/>
  <c r="F419" i="1"/>
  <c r="G419" i="1"/>
  <c r="E419" i="1" s="1"/>
  <c r="H419" i="1"/>
  <c r="I419" i="1"/>
  <c r="J419" i="1"/>
  <c r="K419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A420" i="1"/>
  <c r="B420" i="1"/>
  <c r="C420" i="1"/>
  <c r="D420" i="1"/>
  <c r="F420" i="1"/>
  <c r="G420" i="1"/>
  <c r="E420" i="1" s="1"/>
  <c r="H420" i="1"/>
  <c r="I420" i="1"/>
  <c r="J420" i="1"/>
  <c r="K420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X420" i="1"/>
  <c r="A421" i="1"/>
  <c r="B421" i="1"/>
  <c r="C421" i="1"/>
  <c r="D421" i="1"/>
  <c r="F421" i="1"/>
  <c r="G421" i="1"/>
  <c r="E421" i="1" s="1"/>
  <c r="H421" i="1"/>
  <c r="I421" i="1"/>
  <c r="J421" i="1"/>
  <c r="K421" i="1"/>
  <c r="L421" i="1"/>
  <c r="M421" i="1"/>
  <c r="N421" i="1"/>
  <c r="O421" i="1"/>
  <c r="P421" i="1"/>
  <c r="Q421" i="1"/>
  <c r="R421" i="1"/>
  <c r="S421" i="1"/>
  <c r="T421" i="1"/>
  <c r="U421" i="1"/>
  <c r="V421" i="1"/>
  <c r="W421" i="1"/>
  <c r="X421" i="1"/>
  <c r="A422" i="1"/>
  <c r="B422" i="1"/>
  <c r="C422" i="1"/>
  <c r="D422" i="1"/>
  <c r="F422" i="1"/>
  <c r="G422" i="1"/>
  <c r="E422" i="1" s="1"/>
  <c r="H422" i="1"/>
  <c r="I422" i="1"/>
  <c r="J422" i="1"/>
  <c r="K422" i="1"/>
  <c r="L422" i="1"/>
  <c r="M422" i="1"/>
  <c r="N422" i="1"/>
  <c r="O422" i="1"/>
  <c r="P422" i="1"/>
  <c r="Q422" i="1"/>
  <c r="R422" i="1"/>
  <c r="S422" i="1"/>
  <c r="T422" i="1"/>
  <c r="U422" i="1"/>
  <c r="V422" i="1"/>
  <c r="W422" i="1"/>
  <c r="X422" i="1"/>
  <c r="A423" i="1"/>
  <c r="B423" i="1"/>
  <c r="C423" i="1"/>
  <c r="D423" i="1"/>
  <c r="F423" i="1"/>
  <c r="G423" i="1"/>
  <c r="E423" i="1" s="1"/>
  <c r="H423" i="1"/>
  <c r="I423" i="1"/>
  <c r="J423" i="1"/>
  <c r="K423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A424" i="1"/>
  <c r="B424" i="1"/>
  <c r="C424" i="1"/>
  <c r="D424" i="1"/>
  <c r="F424" i="1"/>
  <c r="G424" i="1"/>
  <c r="E424" i="1" s="1"/>
  <c r="H424" i="1"/>
  <c r="I424" i="1"/>
  <c r="J424" i="1"/>
  <c r="K424" i="1"/>
  <c r="L424" i="1"/>
  <c r="M424" i="1"/>
  <c r="N424" i="1"/>
  <c r="O424" i="1"/>
  <c r="P424" i="1"/>
  <c r="Q424" i="1"/>
  <c r="R424" i="1"/>
  <c r="S424" i="1"/>
  <c r="T424" i="1"/>
  <c r="U424" i="1"/>
  <c r="V424" i="1"/>
  <c r="W424" i="1"/>
  <c r="X424" i="1"/>
  <c r="A425" i="1"/>
  <c r="B425" i="1"/>
  <c r="C425" i="1"/>
  <c r="D425" i="1"/>
  <c r="F425" i="1"/>
  <c r="G425" i="1"/>
  <c r="E425" i="1" s="1"/>
  <c r="H425" i="1"/>
  <c r="I425" i="1"/>
  <c r="J425" i="1"/>
  <c r="K425" i="1"/>
  <c r="L425" i="1"/>
  <c r="M425" i="1"/>
  <c r="N425" i="1"/>
  <c r="O425" i="1"/>
  <c r="P425" i="1"/>
  <c r="Q425" i="1"/>
  <c r="R425" i="1"/>
  <c r="S425" i="1"/>
  <c r="T425" i="1"/>
  <c r="U425" i="1"/>
  <c r="V425" i="1"/>
  <c r="W425" i="1"/>
  <c r="X425" i="1"/>
  <c r="A426" i="1"/>
  <c r="B426" i="1"/>
  <c r="C426" i="1"/>
  <c r="D426" i="1"/>
  <c r="F426" i="1"/>
  <c r="G426" i="1"/>
  <c r="E426" i="1" s="1"/>
  <c r="H426" i="1"/>
  <c r="I426" i="1"/>
  <c r="J426" i="1"/>
  <c r="K426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X426" i="1"/>
  <c r="A427" i="1"/>
  <c r="B427" i="1"/>
  <c r="C427" i="1"/>
  <c r="D427" i="1"/>
  <c r="F427" i="1"/>
  <c r="G427" i="1"/>
  <c r="E427" i="1" s="1"/>
  <c r="H427" i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V427" i="1"/>
  <c r="W427" i="1"/>
  <c r="X427" i="1"/>
  <c r="A428" i="1"/>
  <c r="B428" i="1"/>
  <c r="C428" i="1"/>
  <c r="D428" i="1"/>
  <c r="F428" i="1"/>
  <c r="G428" i="1"/>
  <c r="E428" i="1" s="1"/>
  <c r="H428" i="1"/>
  <c r="I428" i="1"/>
  <c r="J428" i="1"/>
  <c r="K428" i="1"/>
  <c r="L428" i="1"/>
  <c r="M428" i="1"/>
  <c r="N428" i="1"/>
  <c r="O428" i="1"/>
  <c r="P428" i="1"/>
  <c r="Q428" i="1"/>
  <c r="R428" i="1"/>
  <c r="S428" i="1"/>
  <c r="T428" i="1"/>
  <c r="U428" i="1"/>
  <c r="V428" i="1"/>
  <c r="W428" i="1"/>
  <c r="X428" i="1"/>
  <c r="A429" i="1"/>
  <c r="B429" i="1"/>
  <c r="C429" i="1"/>
  <c r="D429" i="1"/>
  <c r="F429" i="1"/>
  <c r="G429" i="1"/>
  <c r="E429" i="1" s="1"/>
  <c r="H429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X429" i="1"/>
  <c r="A430" i="1"/>
  <c r="B430" i="1"/>
  <c r="C430" i="1"/>
  <c r="D430" i="1"/>
  <c r="F430" i="1"/>
  <c r="G430" i="1"/>
  <c r="E430" i="1" s="1"/>
  <c r="H430" i="1"/>
  <c r="I430" i="1"/>
  <c r="J430" i="1"/>
  <c r="K430" i="1"/>
  <c r="L430" i="1"/>
  <c r="M430" i="1"/>
  <c r="N430" i="1"/>
  <c r="O430" i="1"/>
  <c r="P430" i="1"/>
  <c r="Q430" i="1"/>
  <c r="R430" i="1"/>
  <c r="S430" i="1"/>
  <c r="T430" i="1"/>
  <c r="U430" i="1"/>
  <c r="V430" i="1"/>
  <c r="W430" i="1"/>
  <c r="X430" i="1"/>
  <c r="A431" i="1"/>
  <c r="B431" i="1"/>
  <c r="C431" i="1"/>
  <c r="D431" i="1"/>
  <c r="F431" i="1"/>
  <c r="G431" i="1"/>
  <c r="E431" i="1" s="1"/>
  <c r="H431" i="1"/>
  <c r="I431" i="1"/>
  <c r="J431" i="1"/>
  <c r="K431" i="1"/>
  <c r="L431" i="1"/>
  <c r="M431" i="1"/>
  <c r="N431" i="1"/>
  <c r="O431" i="1"/>
  <c r="P431" i="1"/>
  <c r="Q431" i="1"/>
  <c r="R431" i="1"/>
  <c r="S431" i="1"/>
  <c r="T431" i="1"/>
  <c r="U431" i="1"/>
  <c r="V431" i="1"/>
  <c r="W431" i="1"/>
  <c r="X431" i="1"/>
  <c r="A432" i="1"/>
  <c r="B432" i="1"/>
  <c r="C432" i="1"/>
  <c r="D432" i="1"/>
  <c r="F432" i="1"/>
  <c r="G432" i="1"/>
  <c r="E432" i="1" s="1"/>
  <c r="H432" i="1"/>
  <c r="I432" i="1"/>
  <c r="J432" i="1"/>
  <c r="K432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X432" i="1"/>
  <c r="A433" i="1"/>
  <c r="B433" i="1"/>
  <c r="C433" i="1"/>
  <c r="D433" i="1"/>
  <c r="F433" i="1"/>
  <c r="G433" i="1"/>
  <c r="E433" i="1" s="1"/>
  <c r="H433" i="1"/>
  <c r="I433" i="1"/>
  <c r="J433" i="1"/>
  <c r="K433" i="1"/>
  <c r="L433" i="1"/>
  <c r="M433" i="1"/>
  <c r="N433" i="1"/>
  <c r="O433" i="1"/>
  <c r="P433" i="1"/>
  <c r="Q433" i="1"/>
  <c r="R433" i="1"/>
  <c r="S433" i="1"/>
  <c r="T433" i="1"/>
  <c r="U433" i="1"/>
  <c r="V433" i="1"/>
  <c r="W433" i="1"/>
  <c r="X433" i="1"/>
  <c r="A434" i="1"/>
  <c r="B434" i="1"/>
  <c r="C434" i="1"/>
  <c r="D434" i="1"/>
  <c r="F434" i="1"/>
  <c r="G434" i="1"/>
  <c r="E434" i="1" s="1"/>
  <c r="H434" i="1"/>
  <c r="I434" i="1"/>
  <c r="J434" i="1"/>
  <c r="K434" i="1"/>
  <c r="L434" i="1"/>
  <c r="M434" i="1"/>
  <c r="N434" i="1"/>
  <c r="O434" i="1"/>
  <c r="P434" i="1"/>
  <c r="Q434" i="1"/>
  <c r="R434" i="1"/>
  <c r="S434" i="1"/>
  <c r="T434" i="1"/>
  <c r="U434" i="1"/>
  <c r="V434" i="1"/>
  <c r="W434" i="1"/>
  <c r="X434" i="1"/>
  <c r="A435" i="1"/>
  <c r="B435" i="1"/>
  <c r="C435" i="1"/>
  <c r="D435" i="1"/>
  <c r="F435" i="1"/>
  <c r="G435" i="1"/>
  <c r="E435" i="1" s="1"/>
  <c r="H435" i="1"/>
  <c r="I435" i="1"/>
  <c r="J435" i="1"/>
  <c r="K435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A436" i="1"/>
  <c r="B436" i="1"/>
  <c r="C436" i="1"/>
  <c r="D436" i="1"/>
  <c r="F436" i="1"/>
  <c r="G436" i="1"/>
  <c r="E436" i="1" s="1"/>
  <c r="H436" i="1"/>
  <c r="I436" i="1"/>
  <c r="J436" i="1"/>
  <c r="K436" i="1"/>
  <c r="L436" i="1"/>
  <c r="M436" i="1"/>
  <c r="N436" i="1"/>
  <c r="O436" i="1"/>
  <c r="P436" i="1"/>
  <c r="Q436" i="1"/>
  <c r="R436" i="1"/>
  <c r="S436" i="1"/>
  <c r="T436" i="1"/>
  <c r="U436" i="1"/>
  <c r="V436" i="1"/>
  <c r="W436" i="1"/>
  <c r="X436" i="1"/>
  <c r="A437" i="1"/>
  <c r="B437" i="1"/>
  <c r="C437" i="1"/>
  <c r="D437" i="1"/>
  <c r="F437" i="1"/>
  <c r="G437" i="1"/>
  <c r="E437" i="1" s="1"/>
  <c r="H437" i="1"/>
  <c r="I437" i="1"/>
  <c r="J437" i="1"/>
  <c r="K437" i="1"/>
  <c r="L437" i="1"/>
  <c r="M437" i="1"/>
  <c r="N437" i="1"/>
  <c r="O437" i="1"/>
  <c r="P437" i="1"/>
  <c r="Q437" i="1"/>
  <c r="R437" i="1"/>
  <c r="S437" i="1"/>
  <c r="T437" i="1"/>
  <c r="U437" i="1"/>
  <c r="V437" i="1"/>
  <c r="W437" i="1"/>
  <c r="X437" i="1"/>
  <c r="A438" i="1"/>
  <c r="B438" i="1"/>
  <c r="C438" i="1"/>
  <c r="D438" i="1"/>
  <c r="F438" i="1"/>
  <c r="G438" i="1"/>
  <c r="E438" i="1" s="1"/>
  <c r="H438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X438" i="1"/>
  <c r="A439" i="1"/>
  <c r="B439" i="1"/>
  <c r="C439" i="1"/>
  <c r="D439" i="1"/>
  <c r="F439" i="1"/>
  <c r="G439" i="1"/>
  <c r="E439" i="1" s="1"/>
  <c r="H439" i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V439" i="1"/>
  <c r="W439" i="1"/>
  <c r="X439" i="1"/>
  <c r="A440" i="1"/>
  <c r="B440" i="1"/>
  <c r="C440" i="1"/>
  <c r="D440" i="1"/>
  <c r="F440" i="1"/>
  <c r="G440" i="1"/>
  <c r="E440" i="1" s="1"/>
  <c r="H440" i="1"/>
  <c r="I440" i="1"/>
  <c r="J440" i="1"/>
  <c r="K440" i="1"/>
  <c r="L440" i="1"/>
  <c r="M440" i="1"/>
  <c r="N440" i="1"/>
  <c r="O440" i="1"/>
  <c r="P440" i="1"/>
  <c r="Q440" i="1"/>
  <c r="R440" i="1"/>
  <c r="S440" i="1"/>
  <c r="T440" i="1"/>
  <c r="U440" i="1"/>
  <c r="V440" i="1"/>
  <c r="W440" i="1"/>
  <c r="X440" i="1"/>
  <c r="A441" i="1"/>
  <c r="B441" i="1"/>
  <c r="C441" i="1"/>
  <c r="D441" i="1"/>
  <c r="F441" i="1"/>
  <c r="G441" i="1"/>
  <c r="E441" i="1" s="1"/>
  <c r="H441" i="1"/>
  <c r="I441" i="1"/>
  <c r="J441" i="1"/>
  <c r="K441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X441" i="1"/>
  <c r="A442" i="1"/>
  <c r="B442" i="1"/>
  <c r="C442" i="1"/>
  <c r="D442" i="1"/>
  <c r="F442" i="1"/>
  <c r="G442" i="1"/>
  <c r="E442" i="1" s="1"/>
  <c r="H442" i="1"/>
  <c r="I442" i="1"/>
  <c r="J442" i="1"/>
  <c r="K442" i="1"/>
  <c r="L442" i="1"/>
  <c r="M442" i="1"/>
  <c r="N442" i="1"/>
  <c r="O442" i="1"/>
  <c r="P442" i="1"/>
  <c r="Q442" i="1"/>
  <c r="R442" i="1"/>
  <c r="S442" i="1"/>
  <c r="T442" i="1"/>
  <c r="U442" i="1"/>
  <c r="V442" i="1"/>
  <c r="W442" i="1"/>
  <c r="X442" i="1"/>
  <c r="A443" i="1"/>
  <c r="B443" i="1"/>
  <c r="C443" i="1"/>
  <c r="D443" i="1"/>
  <c r="F443" i="1"/>
  <c r="G443" i="1"/>
  <c r="E443" i="1" s="1"/>
  <c r="H443" i="1"/>
  <c r="I443" i="1"/>
  <c r="J443" i="1"/>
  <c r="K443" i="1"/>
  <c r="L443" i="1"/>
  <c r="M443" i="1"/>
  <c r="N443" i="1"/>
  <c r="O443" i="1"/>
  <c r="P443" i="1"/>
  <c r="Q443" i="1"/>
  <c r="R443" i="1"/>
  <c r="S443" i="1"/>
  <c r="T443" i="1"/>
  <c r="U443" i="1"/>
  <c r="V443" i="1"/>
  <c r="W443" i="1"/>
  <c r="X443" i="1"/>
  <c r="A444" i="1"/>
  <c r="B444" i="1"/>
  <c r="C444" i="1"/>
  <c r="D444" i="1"/>
  <c r="F444" i="1"/>
  <c r="G444" i="1"/>
  <c r="E444" i="1" s="1"/>
  <c r="H444" i="1"/>
  <c r="I444" i="1"/>
  <c r="J444" i="1"/>
  <c r="K444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X444" i="1"/>
  <c r="A445" i="1"/>
  <c r="B445" i="1"/>
  <c r="C445" i="1"/>
  <c r="D445" i="1"/>
  <c r="F445" i="1"/>
  <c r="G445" i="1"/>
  <c r="E445" i="1" s="1"/>
  <c r="H445" i="1"/>
  <c r="I445" i="1"/>
  <c r="J445" i="1"/>
  <c r="K445" i="1"/>
  <c r="L445" i="1"/>
  <c r="M445" i="1"/>
  <c r="N445" i="1"/>
  <c r="O445" i="1"/>
  <c r="P445" i="1"/>
  <c r="Q445" i="1"/>
  <c r="R445" i="1"/>
  <c r="S445" i="1"/>
  <c r="T445" i="1"/>
  <c r="U445" i="1"/>
  <c r="V445" i="1"/>
  <c r="W445" i="1"/>
  <c r="X445" i="1"/>
  <c r="A446" i="1"/>
  <c r="B446" i="1"/>
  <c r="C446" i="1"/>
  <c r="D446" i="1"/>
  <c r="F446" i="1"/>
  <c r="G446" i="1"/>
  <c r="E446" i="1" s="1"/>
  <c r="H446" i="1"/>
  <c r="I446" i="1"/>
  <c r="J446" i="1"/>
  <c r="K446" i="1"/>
  <c r="L446" i="1"/>
  <c r="M446" i="1"/>
  <c r="N446" i="1"/>
  <c r="O446" i="1"/>
  <c r="P446" i="1"/>
  <c r="Q446" i="1"/>
  <c r="R446" i="1"/>
  <c r="S446" i="1"/>
  <c r="T446" i="1"/>
  <c r="U446" i="1"/>
  <c r="V446" i="1"/>
  <c r="W446" i="1"/>
  <c r="X446" i="1"/>
  <c r="A447" i="1"/>
  <c r="B447" i="1"/>
  <c r="C447" i="1"/>
  <c r="D447" i="1"/>
  <c r="F447" i="1"/>
  <c r="G447" i="1"/>
  <c r="E447" i="1" s="1"/>
  <c r="H447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A448" i="1"/>
  <c r="B448" i="1"/>
  <c r="C448" i="1"/>
  <c r="D448" i="1"/>
  <c r="F448" i="1"/>
  <c r="G448" i="1"/>
  <c r="E448" i="1" s="1"/>
  <c r="H448" i="1"/>
  <c r="I448" i="1"/>
  <c r="J448" i="1"/>
  <c r="K448" i="1"/>
  <c r="L448" i="1"/>
  <c r="M448" i="1"/>
  <c r="N448" i="1"/>
  <c r="O448" i="1"/>
  <c r="P448" i="1"/>
  <c r="Q448" i="1"/>
  <c r="R448" i="1"/>
  <c r="S448" i="1"/>
  <c r="T448" i="1"/>
  <c r="U448" i="1"/>
  <c r="V448" i="1"/>
  <c r="W448" i="1"/>
  <c r="X448" i="1"/>
  <c r="A449" i="1"/>
  <c r="B449" i="1"/>
  <c r="C449" i="1"/>
  <c r="D449" i="1"/>
  <c r="F449" i="1"/>
  <c r="G449" i="1"/>
  <c r="E449" i="1" s="1"/>
  <c r="H449" i="1"/>
  <c r="I449" i="1"/>
  <c r="J449" i="1"/>
  <c r="K449" i="1"/>
  <c r="L449" i="1"/>
  <c r="M449" i="1"/>
  <c r="N449" i="1"/>
  <c r="O449" i="1"/>
  <c r="P449" i="1"/>
  <c r="Q449" i="1"/>
  <c r="R449" i="1"/>
  <c r="S449" i="1"/>
  <c r="T449" i="1"/>
  <c r="U449" i="1"/>
  <c r="V449" i="1"/>
  <c r="W449" i="1"/>
  <c r="X449" i="1"/>
  <c r="A450" i="1"/>
  <c r="B450" i="1"/>
  <c r="C450" i="1"/>
  <c r="D450" i="1"/>
  <c r="F450" i="1"/>
  <c r="G450" i="1"/>
  <c r="E450" i="1" s="1"/>
  <c r="H450" i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X450" i="1"/>
  <c r="A451" i="1"/>
  <c r="B451" i="1"/>
  <c r="C451" i="1"/>
  <c r="D451" i="1"/>
  <c r="F451" i="1"/>
  <c r="G451" i="1"/>
  <c r="E451" i="1" s="1"/>
  <c r="H451" i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V451" i="1"/>
  <c r="W451" i="1"/>
  <c r="X451" i="1"/>
  <c r="A452" i="1"/>
  <c r="B452" i="1"/>
  <c r="C452" i="1"/>
  <c r="D452" i="1"/>
  <c r="F452" i="1"/>
  <c r="G452" i="1"/>
  <c r="E452" i="1" s="1"/>
  <c r="H452" i="1"/>
  <c r="I452" i="1"/>
  <c r="J452" i="1"/>
  <c r="K452" i="1"/>
  <c r="L452" i="1"/>
  <c r="M452" i="1"/>
  <c r="N452" i="1"/>
  <c r="O452" i="1"/>
  <c r="P452" i="1"/>
  <c r="Q452" i="1"/>
  <c r="R452" i="1"/>
  <c r="S452" i="1"/>
  <c r="T452" i="1"/>
  <c r="U452" i="1"/>
  <c r="V452" i="1"/>
  <c r="W452" i="1"/>
  <c r="X452" i="1"/>
  <c r="A453" i="1"/>
  <c r="B453" i="1"/>
  <c r="C453" i="1"/>
  <c r="D453" i="1"/>
  <c r="F453" i="1"/>
  <c r="G453" i="1"/>
  <c r="E453" i="1" s="1"/>
  <c r="H453" i="1"/>
  <c r="I453" i="1"/>
  <c r="J453" i="1"/>
  <c r="K453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X453" i="1"/>
  <c r="A454" i="1"/>
  <c r="B454" i="1"/>
  <c r="C454" i="1"/>
  <c r="D454" i="1"/>
  <c r="F454" i="1"/>
  <c r="G454" i="1"/>
  <c r="E454" i="1" s="1"/>
  <c r="H454" i="1"/>
  <c r="I454" i="1"/>
  <c r="J454" i="1"/>
  <c r="K454" i="1"/>
  <c r="L454" i="1"/>
  <c r="M454" i="1"/>
  <c r="N454" i="1"/>
  <c r="O454" i="1"/>
  <c r="P454" i="1"/>
  <c r="Q454" i="1"/>
  <c r="R454" i="1"/>
  <c r="S454" i="1"/>
  <c r="T454" i="1"/>
  <c r="U454" i="1"/>
  <c r="V454" i="1"/>
  <c r="W454" i="1"/>
  <c r="X454" i="1"/>
  <c r="A455" i="1"/>
  <c r="B455" i="1"/>
  <c r="C455" i="1"/>
  <c r="D455" i="1"/>
  <c r="F455" i="1"/>
  <c r="G455" i="1"/>
  <c r="E455" i="1" s="1"/>
  <c r="H455" i="1"/>
  <c r="I455" i="1"/>
  <c r="J455" i="1"/>
  <c r="K455" i="1"/>
  <c r="L455" i="1"/>
  <c r="M455" i="1"/>
  <c r="N455" i="1"/>
  <c r="O455" i="1"/>
  <c r="P455" i="1"/>
  <c r="Q455" i="1"/>
  <c r="R455" i="1"/>
  <c r="S455" i="1"/>
  <c r="T455" i="1"/>
  <c r="U455" i="1"/>
  <c r="V455" i="1"/>
  <c r="W455" i="1"/>
  <c r="X455" i="1"/>
  <c r="A456" i="1"/>
  <c r="B456" i="1"/>
  <c r="C456" i="1"/>
  <c r="D456" i="1"/>
  <c r="F456" i="1"/>
  <c r="G456" i="1"/>
  <c r="E456" i="1" s="1"/>
  <c r="H456" i="1"/>
  <c r="I456" i="1"/>
  <c r="J456" i="1"/>
  <c r="K456" i="1"/>
  <c r="L456" i="1"/>
  <c r="M456" i="1"/>
  <c r="N456" i="1"/>
  <c r="O456" i="1"/>
  <c r="P456" i="1"/>
  <c r="Q456" i="1"/>
  <c r="R456" i="1"/>
  <c r="S456" i="1"/>
  <c r="T456" i="1"/>
  <c r="U456" i="1"/>
  <c r="V456" i="1"/>
  <c r="W456" i="1"/>
  <c r="X456" i="1"/>
  <c r="A457" i="1"/>
  <c r="B457" i="1"/>
  <c r="C457" i="1"/>
  <c r="D457" i="1"/>
  <c r="F457" i="1"/>
  <c r="G457" i="1"/>
  <c r="E457" i="1" s="1"/>
  <c r="H457" i="1"/>
  <c r="I457" i="1"/>
  <c r="J457" i="1"/>
  <c r="K457" i="1"/>
  <c r="L457" i="1"/>
  <c r="M457" i="1"/>
  <c r="N457" i="1"/>
  <c r="O457" i="1"/>
  <c r="P457" i="1"/>
  <c r="Q457" i="1"/>
  <c r="R457" i="1"/>
  <c r="S457" i="1"/>
  <c r="T457" i="1"/>
  <c r="U457" i="1"/>
  <c r="V457" i="1"/>
  <c r="W457" i="1"/>
  <c r="X457" i="1"/>
  <c r="A458" i="1"/>
  <c r="B458" i="1"/>
  <c r="C458" i="1"/>
  <c r="D458" i="1"/>
  <c r="F458" i="1"/>
  <c r="G458" i="1"/>
  <c r="E458" i="1" s="1"/>
  <c r="H458" i="1"/>
  <c r="I458" i="1"/>
  <c r="J458" i="1"/>
  <c r="K458" i="1"/>
  <c r="L458" i="1"/>
  <c r="M458" i="1"/>
  <c r="N458" i="1"/>
  <c r="O458" i="1"/>
  <c r="P458" i="1"/>
  <c r="Q458" i="1"/>
  <c r="R458" i="1"/>
  <c r="S458" i="1"/>
  <c r="T458" i="1"/>
  <c r="U458" i="1"/>
  <c r="V458" i="1"/>
  <c r="W458" i="1"/>
  <c r="X458" i="1"/>
  <c r="A459" i="1"/>
  <c r="B459" i="1"/>
  <c r="C459" i="1"/>
  <c r="D459" i="1"/>
  <c r="F459" i="1"/>
  <c r="G459" i="1"/>
  <c r="E459" i="1" s="1"/>
  <c r="H459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A460" i="1"/>
  <c r="B460" i="1"/>
  <c r="C460" i="1"/>
  <c r="D460" i="1"/>
  <c r="F460" i="1"/>
  <c r="G460" i="1"/>
  <c r="E460" i="1" s="1"/>
  <c r="H460" i="1"/>
  <c r="I460" i="1"/>
  <c r="J460" i="1"/>
  <c r="K460" i="1"/>
  <c r="L460" i="1"/>
  <c r="M460" i="1"/>
  <c r="N460" i="1"/>
  <c r="O460" i="1"/>
  <c r="P460" i="1"/>
  <c r="Q460" i="1"/>
  <c r="R460" i="1"/>
  <c r="S460" i="1"/>
  <c r="T460" i="1"/>
  <c r="U460" i="1"/>
  <c r="V460" i="1"/>
  <c r="W460" i="1"/>
  <c r="X460" i="1"/>
  <c r="A461" i="1"/>
  <c r="B461" i="1"/>
  <c r="C461" i="1"/>
  <c r="D461" i="1"/>
  <c r="F461" i="1"/>
  <c r="G461" i="1"/>
  <c r="E461" i="1" s="1"/>
  <c r="H461" i="1"/>
  <c r="I461" i="1"/>
  <c r="J461" i="1"/>
  <c r="K461" i="1"/>
  <c r="L461" i="1"/>
  <c r="M461" i="1"/>
  <c r="N461" i="1"/>
  <c r="O461" i="1"/>
  <c r="P461" i="1"/>
  <c r="Q461" i="1"/>
  <c r="R461" i="1"/>
  <c r="S461" i="1"/>
  <c r="T461" i="1"/>
  <c r="U461" i="1"/>
  <c r="V461" i="1"/>
  <c r="W461" i="1"/>
  <c r="X461" i="1"/>
  <c r="A462" i="1"/>
  <c r="B462" i="1"/>
  <c r="C462" i="1"/>
  <c r="D462" i="1"/>
  <c r="F462" i="1"/>
  <c r="G462" i="1"/>
  <c r="E462" i="1" s="1"/>
  <c r="H462" i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W462" i="1"/>
  <c r="X462" i="1"/>
  <c r="A463" i="1"/>
  <c r="B463" i="1"/>
  <c r="C463" i="1"/>
  <c r="D463" i="1"/>
  <c r="F463" i="1"/>
  <c r="G463" i="1"/>
  <c r="E463" i="1" s="1"/>
  <c r="H463" i="1"/>
  <c r="I463" i="1"/>
  <c r="J463" i="1"/>
  <c r="K463" i="1"/>
  <c r="L463" i="1"/>
  <c r="M463" i="1"/>
  <c r="N463" i="1"/>
  <c r="O463" i="1"/>
  <c r="P463" i="1"/>
  <c r="Q463" i="1"/>
  <c r="R463" i="1"/>
  <c r="S463" i="1"/>
  <c r="T463" i="1"/>
  <c r="U463" i="1"/>
  <c r="V463" i="1"/>
  <c r="W463" i="1"/>
  <c r="X463" i="1"/>
  <c r="A464" i="1"/>
  <c r="B464" i="1"/>
  <c r="C464" i="1"/>
  <c r="D464" i="1"/>
  <c r="F464" i="1"/>
  <c r="G464" i="1"/>
  <c r="E464" i="1" s="1"/>
  <c r="H464" i="1"/>
  <c r="I464" i="1"/>
  <c r="J464" i="1"/>
  <c r="K464" i="1"/>
  <c r="L464" i="1"/>
  <c r="M464" i="1"/>
  <c r="N464" i="1"/>
  <c r="O464" i="1"/>
  <c r="P464" i="1"/>
  <c r="Q464" i="1"/>
  <c r="R464" i="1"/>
  <c r="S464" i="1"/>
  <c r="T464" i="1"/>
  <c r="U464" i="1"/>
  <c r="V464" i="1"/>
  <c r="W464" i="1"/>
  <c r="X464" i="1"/>
  <c r="A465" i="1"/>
  <c r="B465" i="1"/>
  <c r="C465" i="1"/>
  <c r="D465" i="1"/>
  <c r="F465" i="1"/>
  <c r="G465" i="1"/>
  <c r="E465" i="1" s="1"/>
  <c r="H465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W465" i="1"/>
  <c r="X465" i="1"/>
  <c r="A466" i="1"/>
  <c r="B466" i="1"/>
  <c r="C466" i="1"/>
  <c r="D466" i="1"/>
  <c r="F466" i="1"/>
  <c r="G466" i="1"/>
  <c r="E466" i="1" s="1"/>
  <c r="H466" i="1"/>
  <c r="I466" i="1"/>
  <c r="J466" i="1"/>
  <c r="K466" i="1"/>
  <c r="L466" i="1"/>
  <c r="M466" i="1"/>
  <c r="N466" i="1"/>
  <c r="O466" i="1"/>
  <c r="P466" i="1"/>
  <c r="Q466" i="1"/>
  <c r="R466" i="1"/>
  <c r="S466" i="1"/>
  <c r="T466" i="1"/>
  <c r="U466" i="1"/>
  <c r="V466" i="1"/>
  <c r="W466" i="1"/>
  <c r="X466" i="1"/>
  <c r="A467" i="1"/>
  <c r="B467" i="1"/>
  <c r="C467" i="1"/>
  <c r="D467" i="1"/>
  <c r="F467" i="1"/>
  <c r="G467" i="1"/>
  <c r="E467" i="1" s="1"/>
  <c r="H467" i="1"/>
  <c r="I467" i="1"/>
  <c r="J467" i="1"/>
  <c r="K467" i="1"/>
  <c r="L467" i="1"/>
  <c r="M467" i="1"/>
  <c r="N467" i="1"/>
  <c r="O467" i="1"/>
  <c r="P467" i="1"/>
  <c r="Q467" i="1"/>
  <c r="R467" i="1"/>
  <c r="S467" i="1"/>
  <c r="T467" i="1"/>
  <c r="U467" i="1"/>
  <c r="V467" i="1"/>
  <c r="W467" i="1"/>
  <c r="X467" i="1"/>
  <c r="A468" i="1"/>
  <c r="B468" i="1"/>
  <c r="C468" i="1"/>
  <c r="D468" i="1"/>
  <c r="F468" i="1"/>
  <c r="G468" i="1"/>
  <c r="E468" i="1" s="1"/>
  <c r="H468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W468" i="1"/>
  <c r="X468" i="1"/>
  <c r="A469" i="1"/>
  <c r="B469" i="1"/>
  <c r="C469" i="1"/>
  <c r="D469" i="1"/>
  <c r="F469" i="1"/>
  <c r="G469" i="1"/>
  <c r="E469" i="1" s="1"/>
  <c r="H469" i="1"/>
  <c r="I469" i="1"/>
  <c r="J469" i="1"/>
  <c r="K469" i="1"/>
  <c r="L469" i="1"/>
  <c r="M469" i="1"/>
  <c r="N469" i="1"/>
  <c r="O469" i="1"/>
  <c r="P469" i="1"/>
  <c r="Q469" i="1"/>
  <c r="R469" i="1"/>
  <c r="S469" i="1"/>
  <c r="T469" i="1"/>
  <c r="U469" i="1"/>
  <c r="V469" i="1"/>
  <c r="W469" i="1"/>
  <c r="X469" i="1"/>
  <c r="A470" i="1"/>
  <c r="B470" i="1"/>
  <c r="C470" i="1"/>
  <c r="D470" i="1"/>
  <c r="F470" i="1"/>
  <c r="G470" i="1"/>
  <c r="E470" i="1" s="1"/>
  <c r="H470" i="1"/>
  <c r="I470" i="1"/>
  <c r="J470" i="1"/>
  <c r="K470" i="1"/>
  <c r="L470" i="1"/>
  <c r="M470" i="1"/>
  <c r="N470" i="1"/>
  <c r="O470" i="1"/>
  <c r="P470" i="1"/>
  <c r="Q470" i="1"/>
  <c r="R470" i="1"/>
  <c r="S470" i="1"/>
  <c r="T470" i="1"/>
  <c r="U470" i="1"/>
  <c r="V470" i="1"/>
  <c r="W470" i="1"/>
  <c r="X470" i="1"/>
  <c r="A471" i="1"/>
  <c r="B471" i="1"/>
  <c r="C471" i="1"/>
  <c r="D471" i="1"/>
  <c r="F471" i="1"/>
  <c r="G471" i="1"/>
  <c r="E471" i="1" s="1"/>
  <c r="H471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X471" i="1"/>
  <c r="A472" i="1"/>
  <c r="B472" i="1"/>
  <c r="C472" i="1"/>
  <c r="D472" i="1"/>
  <c r="F472" i="1"/>
  <c r="G472" i="1"/>
  <c r="E472" i="1" s="1"/>
  <c r="H472" i="1"/>
  <c r="I472" i="1"/>
  <c r="J472" i="1"/>
  <c r="K472" i="1"/>
  <c r="L472" i="1"/>
  <c r="M472" i="1"/>
  <c r="N472" i="1"/>
  <c r="O472" i="1"/>
  <c r="P472" i="1"/>
  <c r="Q472" i="1"/>
  <c r="R472" i="1"/>
  <c r="S472" i="1"/>
  <c r="T472" i="1"/>
  <c r="U472" i="1"/>
  <c r="V472" i="1"/>
  <c r="W472" i="1"/>
  <c r="X472" i="1"/>
  <c r="A473" i="1"/>
  <c r="B473" i="1"/>
  <c r="C473" i="1"/>
  <c r="D473" i="1"/>
  <c r="F473" i="1"/>
  <c r="G473" i="1"/>
  <c r="E473" i="1" s="1"/>
  <c r="H473" i="1"/>
  <c r="I473" i="1"/>
  <c r="J473" i="1"/>
  <c r="K473" i="1"/>
  <c r="L473" i="1"/>
  <c r="M473" i="1"/>
  <c r="N473" i="1"/>
  <c r="O473" i="1"/>
  <c r="P473" i="1"/>
  <c r="Q473" i="1"/>
  <c r="R473" i="1"/>
  <c r="S473" i="1"/>
  <c r="T473" i="1"/>
  <c r="U473" i="1"/>
  <c r="V473" i="1"/>
  <c r="W473" i="1"/>
  <c r="X473" i="1"/>
  <c r="A474" i="1"/>
  <c r="B474" i="1"/>
  <c r="C474" i="1"/>
  <c r="D474" i="1"/>
  <c r="F474" i="1"/>
  <c r="G474" i="1"/>
  <c r="E474" i="1" s="1"/>
  <c r="H474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W474" i="1"/>
  <c r="X474" i="1"/>
  <c r="A475" i="1"/>
  <c r="B475" i="1"/>
  <c r="C475" i="1"/>
  <c r="D475" i="1"/>
  <c r="F475" i="1"/>
  <c r="G475" i="1"/>
  <c r="E475" i="1" s="1"/>
  <c r="H475" i="1"/>
  <c r="I475" i="1"/>
  <c r="J475" i="1"/>
  <c r="K475" i="1"/>
  <c r="L475" i="1"/>
  <c r="M475" i="1"/>
  <c r="N475" i="1"/>
  <c r="O475" i="1"/>
  <c r="P475" i="1"/>
  <c r="Q475" i="1"/>
  <c r="R475" i="1"/>
  <c r="S475" i="1"/>
  <c r="T475" i="1"/>
  <c r="U475" i="1"/>
  <c r="V475" i="1"/>
  <c r="W475" i="1"/>
  <c r="X475" i="1"/>
  <c r="A476" i="1"/>
  <c r="B476" i="1"/>
  <c r="C476" i="1"/>
  <c r="D476" i="1"/>
  <c r="F476" i="1"/>
  <c r="G476" i="1"/>
  <c r="E476" i="1" s="1"/>
  <c r="H476" i="1"/>
  <c r="I476" i="1"/>
  <c r="J476" i="1"/>
  <c r="K476" i="1"/>
  <c r="L476" i="1"/>
  <c r="M476" i="1"/>
  <c r="N476" i="1"/>
  <c r="O476" i="1"/>
  <c r="P476" i="1"/>
  <c r="Q476" i="1"/>
  <c r="R476" i="1"/>
  <c r="S476" i="1"/>
  <c r="T476" i="1"/>
  <c r="U476" i="1"/>
  <c r="V476" i="1"/>
  <c r="W476" i="1"/>
  <c r="X476" i="1"/>
  <c r="A477" i="1"/>
  <c r="B477" i="1"/>
  <c r="C477" i="1"/>
  <c r="D477" i="1"/>
  <c r="F477" i="1"/>
  <c r="G477" i="1"/>
  <c r="E477" i="1" s="1"/>
  <c r="H477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W477" i="1"/>
  <c r="X477" i="1"/>
  <c r="A478" i="1"/>
  <c r="B478" i="1"/>
  <c r="C478" i="1"/>
  <c r="D478" i="1"/>
  <c r="F478" i="1"/>
  <c r="G478" i="1"/>
  <c r="E478" i="1" s="1"/>
  <c r="H478" i="1"/>
  <c r="I478" i="1"/>
  <c r="J478" i="1"/>
  <c r="K478" i="1"/>
  <c r="L478" i="1"/>
  <c r="M478" i="1"/>
  <c r="N478" i="1"/>
  <c r="O478" i="1"/>
  <c r="P478" i="1"/>
  <c r="Q478" i="1"/>
  <c r="R478" i="1"/>
  <c r="S478" i="1"/>
  <c r="T478" i="1"/>
  <c r="U478" i="1"/>
  <c r="V478" i="1"/>
  <c r="W478" i="1"/>
  <c r="X478" i="1"/>
  <c r="A479" i="1"/>
  <c r="B479" i="1"/>
  <c r="C479" i="1"/>
  <c r="D479" i="1"/>
  <c r="F479" i="1"/>
  <c r="G479" i="1"/>
  <c r="E479" i="1" s="1"/>
  <c r="H479" i="1"/>
  <c r="I479" i="1"/>
  <c r="J479" i="1"/>
  <c r="K479" i="1"/>
  <c r="L479" i="1"/>
  <c r="M479" i="1"/>
  <c r="N479" i="1"/>
  <c r="O479" i="1"/>
  <c r="P479" i="1"/>
  <c r="Q479" i="1"/>
  <c r="R479" i="1"/>
  <c r="S479" i="1"/>
  <c r="T479" i="1"/>
  <c r="U479" i="1"/>
  <c r="V479" i="1"/>
  <c r="W479" i="1"/>
  <c r="X479" i="1"/>
  <c r="A480" i="1"/>
  <c r="B480" i="1"/>
  <c r="C480" i="1"/>
  <c r="D480" i="1"/>
  <c r="F480" i="1"/>
  <c r="G480" i="1"/>
  <c r="E480" i="1" s="1"/>
  <c r="H480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W480" i="1"/>
  <c r="X480" i="1"/>
  <c r="A481" i="1"/>
  <c r="B481" i="1"/>
  <c r="C481" i="1"/>
  <c r="D481" i="1"/>
  <c r="F481" i="1"/>
  <c r="G481" i="1"/>
  <c r="E481" i="1" s="1"/>
  <c r="H481" i="1"/>
  <c r="I481" i="1"/>
  <c r="J481" i="1"/>
  <c r="K481" i="1"/>
  <c r="L481" i="1"/>
  <c r="M481" i="1"/>
  <c r="N481" i="1"/>
  <c r="O481" i="1"/>
  <c r="P481" i="1"/>
  <c r="Q481" i="1"/>
  <c r="R481" i="1"/>
  <c r="S481" i="1"/>
  <c r="T481" i="1"/>
  <c r="U481" i="1"/>
  <c r="V481" i="1"/>
  <c r="W481" i="1"/>
  <c r="X481" i="1"/>
  <c r="A482" i="1"/>
  <c r="B482" i="1"/>
  <c r="C482" i="1"/>
  <c r="D482" i="1"/>
  <c r="F482" i="1"/>
  <c r="G482" i="1"/>
  <c r="E482" i="1" s="1"/>
  <c r="H482" i="1"/>
  <c r="I482" i="1"/>
  <c r="J482" i="1"/>
  <c r="K482" i="1"/>
  <c r="L482" i="1"/>
  <c r="M482" i="1"/>
  <c r="N482" i="1"/>
  <c r="O482" i="1"/>
  <c r="P482" i="1"/>
  <c r="Q482" i="1"/>
  <c r="R482" i="1"/>
  <c r="S482" i="1"/>
  <c r="T482" i="1"/>
  <c r="U482" i="1"/>
  <c r="V482" i="1"/>
  <c r="W482" i="1"/>
  <c r="X482" i="1"/>
  <c r="A483" i="1"/>
  <c r="B483" i="1"/>
  <c r="C483" i="1"/>
  <c r="D483" i="1"/>
  <c r="F483" i="1"/>
  <c r="G483" i="1"/>
  <c r="E483" i="1" s="1"/>
  <c r="H483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X483" i="1"/>
  <c r="A484" i="1"/>
  <c r="B484" i="1"/>
  <c r="C484" i="1"/>
  <c r="D484" i="1"/>
  <c r="F484" i="1"/>
  <c r="G484" i="1"/>
  <c r="E484" i="1" s="1"/>
  <c r="H484" i="1"/>
  <c r="I484" i="1"/>
  <c r="J484" i="1"/>
  <c r="K484" i="1"/>
  <c r="L484" i="1"/>
  <c r="M484" i="1"/>
  <c r="N484" i="1"/>
  <c r="O484" i="1"/>
  <c r="P484" i="1"/>
  <c r="Q484" i="1"/>
  <c r="R484" i="1"/>
  <c r="S484" i="1"/>
  <c r="T484" i="1"/>
  <c r="U484" i="1"/>
  <c r="V484" i="1"/>
  <c r="W484" i="1"/>
  <c r="X484" i="1"/>
  <c r="A485" i="1"/>
  <c r="B485" i="1"/>
  <c r="C485" i="1"/>
  <c r="D485" i="1"/>
  <c r="F485" i="1"/>
  <c r="G485" i="1"/>
  <c r="E485" i="1" s="1"/>
  <c r="H485" i="1"/>
  <c r="I485" i="1"/>
  <c r="J485" i="1"/>
  <c r="K485" i="1"/>
  <c r="L485" i="1"/>
  <c r="M485" i="1"/>
  <c r="N485" i="1"/>
  <c r="O485" i="1"/>
  <c r="P485" i="1"/>
  <c r="Q485" i="1"/>
  <c r="R485" i="1"/>
  <c r="S485" i="1"/>
  <c r="T485" i="1"/>
  <c r="U485" i="1"/>
  <c r="V485" i="1"/>
  <c r="W485" i="1"/>
  <c r="X485" i="1"/>
  <c r="A486" i="1"/>
  <c r="B486" i="1"/>
  <c r="C486" i="1"/>
  <c r="D486" i="1"/>
  <c r="F486" i="1"/>
  <c r="G486" i="1"/>
  <c r="E486" i="1" s="1"/>
  <c r="H486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W486" i="1"/>
  <c r="X486" i="1"/>
  <c r="A487" i="1"/>
  <c r="B487" i="1"/>
  <c r="C487" i="1"/>
  <c r="D487" i="1"/>
  <c r="F487" i="1"/>
  <c r="G487" i="1"/>
  <c r="E487" i="1" s="1"/>
  <c r="H487" i="1"/>
  <c r="I487" i="1"/>
  <c r="J487" i="1"/>
  <c r="K487" i="1"/>
  <c r="L487" i="1"/>
  <c r="M487" i="1"/>
  <c r="N487" i="1"/>
  <c r="O487" i="1"/>
  <c r="P487" i="1"/>
  <c r="Q487" i="1"/>
  <c r="R487" i="1"/>
  <c r="S487" i="1"/>
  <c r="T487" i="1"/>
  <c r="U487" i="1"/>
  <c r="V487" i="1"/>
  <c r="W487" i="1"/>
  <c r="X487" i="1"/>
  <c r="A488" i="1"/>
  <c r="B488" i="1"/>
  <c r="C488" i="1"/>
  <c r="D488" i="1"/>
  <c r="E488" i="1"/>
  <c r="F488" i="1"/>
  <c r="G488" i="1"/>
  <c r="H488" i="1"/>
  <c r="I488" i="1"/>
  <c r="J488" i="1"/>
  <c r="K488" i="1"/>
  <c r="L488" i="1"/>
  <c r="M488" i="1"/>
  <c r="N488" i="1"/>
  <c r="O488" i="1"/>
  <c r="P488" i="1"/>
  <c r="Q488" i="1"/>
  <c r="R488" i="1"/>
  <c r="S488" i="1"/>
  <c r="T488" i="1"/>
  <c r="U488" i="1"/>
  <c r="V488" i="1"/>
  <c r="W488" i="1"/>
  <c r="X488" i="1"/>
  <c r="A489" i="1"/>
  <c r="O489" i="1" s="1"/>
  <c r="B489" i="1"/>
  <c r="C489" i="1"/>
  <c r="D489" i="1"/>
  <c r="E489" i="1"/>
  <c r="F489" i="1"/>
  <c r="G489" i="1"/>
  <c r="H489" i="1"/>
  <c r="I489" i="1"/>
  <c r="J489" i="1"/>
  <c r="K489" i="1"/>
  <c r="L489" i="1"/>
  <c r="M489" i="1"/>
  <c r="N489" i="1"/>
  <c r="P489" i="1"/>
  <c r="Q489" i="1"/>
  <c r="R489" i="1"/>
  <c r="T489" i="1"/>
  <c r="U489" i="1"/>
  <c r="V489" i="1"/>
  <c r="X489" i="1"/>
  <c r="A490" i="1"/>
  <c r="O490" i="1" s="1"/>
  <c r="B490" i="1"/>
  <c r="C490" i="1"/>
  <c r="D490" i="1"/>
  <c r="E490" i="1"/>
  <c r="F490" i="1"/>
  <c r="G490" i="1"/>
  <c r="H490" i="1"/>
  <c r="I490" i="1"/>
  <c r="J490" i="1"/>
  <c r="K490" i="1"/>
  <c r="L490" i="1"/>
  <c r="M490" i="1"/>
  <c r="N490" i="1"/>
  <c r="P490" i="1"/>
  <c r="Q490" i="1"/>
  <c r="R490" i="1"/>
  <c r="T490" i="1"/>
  <c r="U490" i="1"/>
  <c r="V490" i="1"/>
  <c r="X490" i="1"/>
  <c r="A491" i="1"/>
  <c r="O491" i="1" s="1"/>
  <c r="B491" i="1"/>
  <c r="C491" i="1"/>
  <c r="D491" i="1"/>
  <c r="E491" i="1"/>
  <c r="F491" i="1"/>
  <c r="G491" i="1"/>
  <c r="H491" i="1"/>
  <c r="I491" i="1"/>
  <c r="J491" i="1"/>
  <c r="K491" i="1"/>
  <c r="L491" i="1"/>
  <c r="M491" i="1"/>
  <c r="N491" i="1"/>
  <c r="P491" i="1"/>
  <c r="Q491" i="1"/>
  <c r="R491" i="1"/>
  <c r="T491" i="1"/>
  <c r="U491" i="1"/>
  <c r="V491" i="1"/>
  <c r="X491" i="1"/>
  <c r="A492" i="1"/>
  <c r="O492" i="1" s="1"/>
  <c r="B492" i="1"/>
  <c r="C492" i="1"/>
  <c r="D492" i="1"/>
  <c r="E492" i="1"/>
  <c r="F492" i="1"/>
  <c r="G492" i="1"/>
  <c r="H492" i="1"/>
  <c r="I492" i="1"/>
  <c r="J492" i="1"/>
  <c r="K492" i="1"/>
  <c r="L492" i="1"/>
  <c r="M492" i="1"/>
  <c r="N492" i="1"/>
  <c r="P492" i="1"/>
  <c r="Q492" i="1"/>
  <c r="R492" i="1"/>
  <c r="T492" i="1"/>
  <c r="U492" i="1"/>
  <c r="V492" i="1"/>
  <c r="X492" i="1"/>
  <c r="A493" i="1"/>
  <c r="O493" i="1" s="1"/>
  <c r="B493" i="1"/>
  <c r="C493" i="1"/>
  <c r="D493" i="1"/>
  <c r="E493" i="1"/>
  <c r="F493" i="1"/>
  <c r="G493" i="1"/>
  <c r="H493" i="1"/>
  <c r="I493" i="1"/>
  <c r="J493" i="1"/>
  <c r="K493" i="1"/>
  <c r="L493" i="1"/>
  <c r="M493" i="1"/>
  <c r="N493" i="1"/>
  <c r="P493" i="1"/>
  <c r="Q493" i="1"/>
  <c r="R493" i="1"/>
  <c r="T493" i="1"/>
  <c r="U493" i="1"/>
  <c r="V493" i="1"/>
  <c r="X493" i="1"/>
  <c r="A494" i="1"/>
  <c r="O494" i="1" s="1"/>
  <c r="B494" i="1"/>
  <c r="C494" i="1"/>
  <c r="D494" i="1"/>
  <c r="E494" i="1"/>
  <c r="F494" i="1"/>
  <c r="G494" i="1"/>
  <c r="H494" i="1"/>
  <c r="I494" i="1"/>
  <c r="J494" i="1"/>
  <c r="K494" i="1"/>
  <c r="L494" i="1"/>
  <c r="M494" i="1"/>
  <c r="N494" i="1"/>
  <c r="P494" i="1"/>
  <c r="Q494" i="1"/>
  <c r="R494" i="1"/>
  <c r="T494" i="1"/>
  <c r="U494" i="1"/>
  <c r="V494" i="1"/>
  <c r="X494" i="1"/>
  <c r="A495" i="1"/>
  <c r="O495" i="1" s="1"/>
  <c r="B495" i="1"/>
  <c r="C495" i="1"/>
  <c r="D495" i="1"/>
  <c r="E495" i="1"/>
  <c r="F495" i="1"/>
  <c r="G495" i="1"/>
  <c r="H495" i="1"/>
  <c r="I495" i="1"/>
  <c r="J495" i="1"/>
  <c r="K495" i="1"/>
  <c r="L495" i="1"/>
  <c r="M495" i="1"/>
  <c r="N495" i="1"/>
  <c r="P495" i="1"/>
  <c r="Q495" i="1"/>
  <c r="R495" i="1"/>
  <c r="T495" i="1"/>
  <c r="U495" i="1"/>
  <c r="V495" i="1"/>
  <c r="X495" i="1"/>
  <c r="A496" i="1"/>
  <c r="O496" i="1" s="1"/>
  <c r="B496" i="1"/>
  <c r="C496" i="1"/>
  <c r="D496" i="1"/>
  <c r="E496" i="1"/>
  <c r="F496" i="1"/>
  <c r="G496" i="1"/>
  <c r="H496" i="1"/>
  <c r="I496" i="1"/>
  <c r="J496" i="1"/>
  <c r="K496" i="1"/>
  <c r="L496" i="1"/>
  <c r="M496" i="1"/>
  <c r="N496" i="1"/>
  <c r="P496" i="1"/>
  <c r="Q496" i="1"/>
  <c r="R496" i="1"/>
  <c r="T496" i="1"/>
  <c r="U496" i="1"/>
  <c r="V496" i="1"/>
  <c r="X496" i="1"/>
  <c r="A497" i="1"/>
  <c r="O497" i="1" s="1"/>
  <c r="B497" i="1"/>
  <c r="C497" i="1"/>
  <c r="D497" i="1"/>
  <c r="E497" i="1"/>
  <c r="F497" i="1"/>
  <c r="G497" i="1"/>
  <c r="H497" i="1"/>
  <c r="I497" i="1"/>
  <c r="J497" i="1"/>
  <c r="K497" i="1"/>
  <c r="L497" i="1"/>
  <c r="M497" i="1"/>
  <c r="N497" i="1"/>
  <c r="P497" i="1"/>
  <c r="Q497" i="1"/>
  <c r="R497" i="1"/>
  <c r="T497" i="1"/>
  <c r="U497" i="1"/>
  <c r="V497" i="1"/>
  <c r="X497" i="1"/>
  <c r="A498" i="1"/>
  <c r="O498" i="1" s="1"/>
  <c r="B498" i="1"/>
  <c r="C498" i="1"/>
  <c r="D498" i="1"/>
  <c r="E498" i="1"/>
  <c r="F498" i="1"/>
  <c r="G498" i="1"/>
  <c r="H498" i="1"/>
  <c r="I498" i="1"/>
  <c r="J498" i="1"/>
  <c r="K498" i="1"/>
  <c r="L498" i="1"/>
  <c r="M498" i="1"/>
  <c r="N498" i="1"/>
  <c r="P498" i="1"/>
  <c r="Q498" i="1"/>
  <c r="R498" i="1"/>
  <c r="T498" i="1"/>
  <c r="U498" i="1"/>
  <c r="V498" i="1"/>
  <c r="X498" i="1"/>
  <c r="A499" i="1"/>
  <c r="O499" i="1" s="1"/>
  <c r="B499" i="1"/>
  <c r="C499" i="1"/>
  <c r="D499" i="1"/>
  <c r="E499" i="1"/>
  <c r="F499" i="1"/>
  <c r="G499" i="1"/>
  <c r="H499" i="1"/>
  <c r="I499" i="1"/>
  <c r="J499" i="1"/>
  <c r="K499" i="1"/>
  <c r="L499" i="1"/>
  <c r="M499" i="1"/>
  <c r="N499" i="1"/>
  <c r="P499" i="1"/>
  <c r="Q499" i="1"/>
  <c r="R499" i="1"/>
  <c r="T499" i="1"/>
  <c r="U499" i="1"/>
  <c r="V499" i="1"/>
  <c r="X499" i="1"/>
  <c r="A500" i="1"/>
  <c r="O500" i="1" s="1"/>
  <c r="B500" i="1"/>
  <c r="C500" i="1"/>
  <c r="D500" i="1"/>
  <c r="E500" i="1"/>
  <c r="F500" i="1"/>
  <c r="G500" i="1"/>
  <c r="H500" i="1"/>
  <c r="I500" i="1"/>
  <c r="J500" i="1"/>
  <c r="K500" i="1"/>
  <c r="L500" i="1"/>
  <c r="M500" i="1"/>
  <c r="N500" i="1"/>
  <c r="P500" i="1"/>
  <c r="Q500" i="1"/>
  <c r="R500" i="1"/>
  <c r="T500" i="1"/>
  <c r="U500" i="1"/>
  <c r="V500" i="1"/>
  <c r="X500" i="1"/>
  <c r="A501" i="1"/>
  <c r="Q501" i="1" s="1"/>
  <c r="B501" i="1"/>
  <c r="C501" i="1"/>
  <c r="D501" i="1"/>
  <c r="E501" i="1"/>
  <c r="F501" i="1"/>
  <c r="G501" i="1"/>
  <c r="H501" i="1"/>
  <c r="I501" i="1"/>
  <c r="J501" i="1"/>
  <c r="K501" i="1"/>
  <c r="L501" i="1"/>
  <c r="M501" i="1"/>
  <c r="R501" i="1"/>
  <c r="X501" i="1"/>
  <c r="A502" i="1"/>
  <c r="P502" i="1" s="1"/>
  <c r="B502" i="1"/>
  <c r="C502" i="1"/>
  <c r="D502" i="1"/>
  <c r="E502" i="1"/>
  <c r="F502" i="1"/>
  <c r="G502" i="1"/>
  <c r="H502" i="1"/>
  <c r="I502" i="1"/>
  <c r="J502" i="1"/>
  <c r="K502" i="1"/>
  <c r="L502" i="1"/>
  <c r="M502" i="1"/>
  <c r="N502" i="1"/>
  <c r="Q502" i="1"/>
  <c r="R502" i="1"/>
  <c r="T502" i="1"/>
  <c r="V502" i="1"/>
  <c r="X502" i="1"/>
  <c r="A503" i="1"/>
  <c r="N503" i="1" s="1"/>
  <c r="B503" i="1"/>
  <c r="C503" i="1"/>
  <c r="D503" i="1"/>
  <c r="E503" i="1"/>
  <c r="F503" i="1"/>
  <c r="G503" i="1"/>
  <c r="H503" i="1"/>
  <c r="I503" i="1"/>
  <c r="J503" i="1"/>
  <c r="K503" i="1"/>
  <c r="L503" i="1"/>
  <c r="M503" i="1"/>
  <c r="P503" i="1"/>
  <c r="R503" i="1"/>
  <c r="U503" i="1"/>
  <c r="X503" i="1"/>
  <c r="A504" i="1"/>
  <c r="B504" i="1"/>
  <c r="C504" i="1"/>
  <c r="D504" i="1"/>
  <c r="E504" i="1"/>
  <c r="F504" i="1"/>
  <c r="G504" i="1"/>
  <c r="H504" i="1"/>
  <c r="I504" i="1"/>
  <c r="J504" i="1"/>
  <c r="K504" i="1"/>
  <c r="L504" i="1"/>
  <c r="M504" i="1"/>
  <c r="N504" i="1"/>
  <c r="P504" i="1"/>
  <c r="Q504" i="1"/>
  <c r="R504" i="1"/>
  <c r="T504" i="1"/>
  <c r="U504" i="1"/>
  <c r="V504" i="1"/>
  <c r="X504" i="1"/>
  <c r="A505" i="1"/>
  <c r="Q505" i="1" s="1"/>
  <c r="B505" i="1"/>
  <c r="C505" i="1"/>
  <c r="D505" i="1"/>
  <c r="E505" i="1"/>
  <c r="F505" i="1"/>
  <c r="G505" i="1"/>
  <c r="H505" i="1"/>
  <c r="I505" i="1"/>
  <c r="J505" i="1"/>
  <c r="K505" i="1"/>
  <c r="L505" i="1"/>
  <c r="M505" i="1"/>
  <c r="R505" i="1"/>
  <c r="X505" i="1"/>
  <c r="A506" i="1"/>
  <c r="P506" i="1" s="1"/>
  <c r="B506" i="1"/>
  <c r="C506" i="1"/>
  <c r="D506" i="1"/>
  <c r="E506" i="1"/>
  <c r="F506" i="1"/>
  <c r="G506" i="1"/>
  <c r="H506" i="1"/>
  <c r="I506" i="1"/>
  <c r="J506" i="1"/>
  <c r="K506" i="1"/>
  <c r="L506" i="1"/>
  <c r="M506" i="1"/>
  <c r="N506" i="1"/>
  <c r="Q506" i="1"/>
  <c r="R506" i="1"/>
  <c r="T506" i="1"/>
  <c r="V506" i="1"/>
  <c r="X506" i="1"/>
  <c r="A507" i="1"/>
  <c r="N507" i="1" s="1"/>
  <c r="B507" i="1"/>
  <c r="C507" i="1"/>
  <c r="D507" i="1"/>
  <c r="E507" i="1"/>
  <c r="F507" i="1"/>
  <c r="G507" i="1"/>
  <c r="H507" i="1"/>
  <c r="I507" i="1"/>
  <c r="J507" i="1"/>
  <c r="K507" i="1"/>
  <c r="L507" i="1"/>
  <c r="M507" i="1"/>
  <c r="P507" i="1"/>
  <c r="R507" i="1"/>
  <c r="U507" i="1"/>
  <c r="X507" i="1"/>
  <c r="A508" i="1"/>
  <c r="B508" i="1"/>
  <c r="C508" i="1"/>
  <c r="D508" i="1"/>
  <c r="E508" i="1"/>
  <c r="F508" i="1"/>
  <c r="G508" i="1"/>
  <c r="H508" i="1"/>
  <c r="I508" i="1"/>
  <c r="J508" i="1"/>
  <c r="K508" i="1"/>
  <c r="L508" i="1"/>
  <c r="M508" i="1"/>
  <c r="N508" i="1"/>
  <c r="P508" i="1"/>
  <c r="Q508" i="1"/>
  <c r="R508" i="1"/>
  <c r="T508" i="1"/>
  <c r="U508" i="1"/>
  <c r="V508" i="1"/>
  <c r="X508" i="1"/>
  <c r="A509" i="1"/>
  <c r="Q509" i="1" s="1"/>
  <c r="B509" i="1"/>
  <c r="C509" i="1"/>
  <c r="D509" i="1"/>
  <c r="E509" i="1"/>
  <c r="F509" i="1"/>
  <c r="G509" i="1"/>
  <c r="H509" i="1"/>
  <c r="I509" i="1"/>
  <c r="J509" i="1"/>
  <c r="K509" i="1"/>
  <c r="L509" i="1"/>
  <c r="M509" i="1"/>
  <c r="R509" i="1"/>
  <c r="X509" i="1"/>
  <c r="A510" i="1"/>
  <c r="P510" i="1" s="1"/>
  <c r="B510" i="1"/>
  <c r="C510" i="1"/>
  <c r="D510" i="1"/>
  <c r="E510" i="1"/>
  <c r="F510" i="1"/>
  <c r="G510" i="1"/>
  <c r="H510" i="1"/>
  <c r="I510" i="1"/>
  <c r="J510" i="1"/>
  <c r="K510" i="1"/>
  <c r="L510" i="1"/>
  <c r="M510" i="1"/>
  <c r="N510" i="1"/>
  <c r="Q510" i="1"/>
  <c r="R510" i="1"/>
  <c r="T510" i="1"/>
  <c r="V510" i="1"/>
  <c r="X510" i="1"/>
  <c r="A511" i="1"/>
  <c r="N511" i="1" s="1"/>
  <c r="B511" i="1"/>
  <c r="C511" i="1"/>
  <c r="D511" i="1"/>
  <c r="E511" i="1"/>
  <c r="F511" i="1"/>
  <c r="G511" i="1"/>
  <c r="H511" i="1"/>
  <c r="I511" i="1"/>
  <c r="J511" i="1"/>
  <c r="K511" i="1"/>
  <c r="L511" i="1"/>
  <c r="M511" i="1"/>
  <c r="P511" i="1"/>
  <c r="R511" i="1"/>
  <c r="U511" i="1"/>
  <c r="X511" i="1"/>
  <c r="A512" i="1"/>
  <c r="B512" i="1"/>
  <c r="C512" i="1"/>
  <c r="D512" i="1"/>
  <c r="E512" i="1"/>
  <c r="F512" i="1"/>
  <c r="G512" i="1"/>
  <c r="H512" i="1"/>
  <c r="I512" i="1"/>
  <c r="J512" i="1"/>
  <c r="K512" i="1"/>
  <c r="L512" i="1"/>
  <c r="M512" i="1"/>
  <c r="N512" i="1"/>
  <c r="P512" i="1"/>
  <c r="Q512" i="1"/>
  <c r="R512" i="1"/>
  <c r="T512" i="1"/>
  <c r="U512" i="1"/>
  <c r="V512" i="1"/>
  <c r="X512" i="1"/>
  <c r="A513" i="1"/>
  <c r="B513" i="1"/>
  <c r="C513" i="1"/>
  <c r="D513" i="1"/>
  <c r="E513" i="1"/>
  <c r="F513" i="1"/>
  <c r="G513" i="1"/>
  <c r="H513" i="1"/>
  <c r="I513" i="1"/>
  <c r="J513" i="1"/>
  <c r="K513" i="1"/>
  <c r="L513" i="1"/>
  <c r="M513" i="1"/>
  <c r="R513" i="1"/>
  <c r="X513" i="1"/>
  <c r="A514" i="1"/>
  <c r="P514" i="1" s="1"/>
  <c r="B514" i="1"/>
  <c r="C514" i="1"/>
  <c r="D514" i="1"/>
  <c r="E514" i="1"/>
  <c r="F514" i="1"/>
  <c r="G514" i="1"/>
  <c r="H514" i="1"/>
  <c r="I514" i="1"/>
  <c r="J514" i="1"/>
  <c r="K514" i="1"/>
  <c r="L514" i="1"/>
  <c r="M514" i="1"/>
  <c r="N514" i="1"/>
  <c r="Q514" i="1"/>
  <c r="R514" i="1"/>
  <c r="T514" i="1"/>
  <c r="V514" i="1"/>
  <c r="X514" i="1"/>
  <c r="A515" i="1"/>
  <c r="N515" i="1" s="1"/>
  <c r="B515" i="1"/>
  <c r="C515" i="1"/>
  <c r="D515" i="1"/>
  <c r="E515" i="1"/>
  <c r="F515" i="1"/>
  <c r="G515" i="1"/>
  <c r="H515" i="1"/>
  <c r="I515" i="1"/>
  <c r="J515" i="1"/>
  <c r="K515" i="1"/>
  <c r="L515" i="1"/>
  <c r="M515" i="1"/>
  <c r="P515" i="1"/>
  <c r="R515" i="1"/>
  <c r="U515" i="1"/>
  <c r="X515" i="1"/>
  <c r="A516" i="1"/>
  <c r="B516" i="1"/>
  <c r="C516" i="1"/>
  <c r="D516" i="1"/>
  <c r="E516" i="1"/>
  <c r="F516" i="1"/>
  <c r="G516" i="1"/>
  <c r="H516" i="1"/>
  <c r="I516" i="1"/>
  <c r="J516" i="1"/>
  <c r="K516" i="1"/>
  <c r="L516" i="1"/>
  <c r="M516" i="1"/>
  <c r="N516" i="1"/>
  <c r="P516" i="1"/>
  <c r="Q516" i="1"/>
  <c r="R516" i="1"/>
  <c r="T516" i="1"/>
  <c r="U516" i="1"/>
  <c r="V516" i="1"/>
  <c r="X516" i="1"/>
  <c r="A517" i="1"/>
  <c r="Q517" i="1" s="1"/>
  <c r="B517" i="1"/>
  <c r="C517" i="1"/>
  <c r="D517" i="1"/>
  <c r="E517" i="1"/>
  <c r="F517" i="1"/>
  <c r="G517" i="1"/>
  <c r="H517" i="1"/>
  <c r="I517" i="1"/>
  <c r="J517" i="1"/>
  <c r="K517" i="1"/>
  <c r="L517" i="1"/>
  <c r="M517" i="1"/>
  <c r="R517" i="1"/>
  <c r="X517" i="1"/>
  <c r="A518" i="1"/>
  <c r="P518" i="1" s="1"/>
  <c r="B518" i="1"/>
  <c r="C518" i="1"/>
  <c r="D518" i="1"/>
  <c r="E518" i="1"/>
  <c r="F518" i="1"/>
  <c r="G518" i="1"/>
  <c r="H518" i="1"/>
  <c r="I518" i="1"/>
  <c r="J518" i="1"/>
  <c r="K518" i="1"/>
  <c r="L518" i="1"/>
  <c r="M518" i="1"/>
  <c r="N518" i="1"/>
  <c r="Q518" i="1"/>
  <c r="R518" i="1"/>
  <c r="T518" i="1"/>
  <c r="V518" i="1"/>
  <c r="X518" i="1"/>
  <c r="A519" i="1"/>
  <c r="O519" i="1" s="1"/>
  <c r="B519" i="1"/>
  <c r="C519" i="1"/>
  <c r="D519" i="1"/>
  <c r="E519" i="1"/>
  <c r="F519" i="1"/>
  <c r="G519" i="1"/>
  <c r="H519" i="1"/>
  <c r="I519" i="1"/>
  <c r="J519" i="1"/>
  <c r="K519" i="1"/>
  <c r="L519" i="1"/>
  <c r="M519" i="1"/>
  <c r="P519" i="1"/>
  <c r="R519" i="1"/>
  <c r="T519" i="1"/>
  <c r="V519" i="1"/>
  <c r="X519" i="1"/>
  <c r="A520" i="1"/>
  <c r="O520" i="1" s="1"/>
  <c r="B520" i="1"/>
  <c r="C520" i="1"/>
  <c r="D520" i="1"/>
  <c r="E520" i="1"/>
  <c r="F520" i="1"/>
  <c r="G520" i="1"/>
  <c r="H520" i="1"/>
  <c r="I520" i="1"/>
  <c r="J520" i="1"/>
  <c r="K520" i="1"/>
  <c r="L520" i="1"/>
  <c r="M520" i="1"/>
  <c r="N520" i="1"/>
  <c r="P520" i="1"/>
  <c r="Q520" i="1"/>
  <c r="R520" i="1"/>
  <c r="T520" i="1"/>
  <c r="U520" i="1"/>
  <c r="V520" i="1"/>
  <c r="X520" i="1"/>
  <c r="A521" i="1"/>
  <c r="O521" i="1" s="1"/>
  <c r="B521" i="1"/>
  <c r="C521" i="1"/>
  <c r="D521" i="1"/>
  <c r="E521" i="1"/>
  <c r="F521" i="1"/>
  <c r="G521" i="1"/>
  <c r="H521" i="1"/>
  <c r="I521" i="1"/>
  <c r="J521" i="1"/>
  <c r="K521" i="1"/>
  <c r="L521" i="1"/>
  <c r="M521" i="1"/>
  <c r="N521" i="1"/>
  <c r="P521" i="1"/>
  <c r="Q521" i="1"/>
  <c r="R521" i="1"/>
  <c r="T521" i="1"/>
  <c r="U521" i="1"/>
  <c r="V521" i="1"/>
  <c r="X521" i="1"/>
  <c r="A522" i="1"/>
  <c r="O522" i="1" s="1"/>
  <c r="B522" i="1"/>
  <c r="C522" i="1"/>
  <c r="D522" i="1"/>
  <c r="E522" i="1"/>
  <c r="F522" i="1"/>
  <c r="G522" i="1"/>
  <c r="H522" i="1"/>
  <c r="I522" i="1"/>
  <c r="J522" i="1"/>
  <c r="K522" i="1"/>
  <c r="L522" i="1"/>
  <c r="M522" i="1"/>
  <c r="N522" i="1"/>
  <c r="P522" i="1"/>
  <c r="Q522" i="1"/>
  <c r="R522" i="1"/>
  <c r="T522" i="1"/>
  <c r="U522" i="1"/>
  <c r="V522" i="1"/>
  <c r="X522" i="1"/>
  <c r="W4" i="1"/>
  <c r="S4" i="1"/>
  <c r="O4" i="1"/>
  <c r="H4" i="1"/>
  <c r="U4" i="1"/>
  <c r="M4" i="1"/>
  <c r="Q4" i="1"/>
  <c r="L4" i="1"/>
  <c r="K4" i="1"/>
  <c r="J4" i="1"/>
  <c r="I4" i="1"/>
  <c r="C4" i="1"/>
  <c r="B4" i="1"/>
  <c r="O513" i="1" l="1"/>
  <c r="S513" i="1"/>
  <c r="W513" i="1"/>
  <c r="O360" i="1"/>
  <c r="S360" i="1"/>
  <c r="W360" i="1"/>
  <c r="N360" i="1"/>
  <c r="T360" i="1"/>
  <c r="P360" i="1"/>
  <c r="U360" i="1"/>
  <c r="Q360" i="1"/>
  <c r="V360" i="1"/>
  <c r="O344" i="1"/>
  <c r="S344" i="1"/>
  <c r="W344" i="1"/>
  <c r="N344" i="1"/>
  <c r="T344" i="1"/>
  <c r="P344" i="1"/>
  <c r="U344" i="1"/>
  <c r="Q344" i="1"/>
  <c r="V344" i="1"/>
  <c r="O340" i="1"/>
  <c r="S340" i="1"/>
  <c r="W340" i="1"/>
  <c r="N340" i="1"/>
  <c r="T340" i="1"/>
  <c r="P340" i="1"/>
  <c r="U340" i="1"/>
  <c r="Q340" i="1"/>
  <c r="V340" i="1"/>
  <c r="O336" i="1"/>
  <c r="S336" i="1"/>
  <c r="W336" i="1"/>
  <c r="N336" i="1"/>
  <c r="T336" i="1"/>
  <c r="P336" i="1"/>
  <c r="U336" i="1"/>
  <c r="Q336" i="1"/>
  <c r="V336" i="1"/>
  <c r="O328" i="1"/>
  <c r="S328" i="1"/>
  <c r="W328" i="1"/>
  <c r="N328" i="1"/>
  <c r="T328" i="1"/>
  <c r="P328" i="1"/>
  <c r="U328" i="1"/>
  <c r="Q328" i="1"/>
  <c r="V328" i="1"/>
  <c r="N36" i="1"/>
  <c r="R36" i="1"/>
  <c r="V36" i="1"/>
  <c r="O36" i="1"/>
  <c r="S36" i="1"/>
  <c r="W36" i="1"/>
  <c r="P36" i="1"/>
  <c r="T36" i="1"/>
  <c r="X36" i="1"/>
  <c r="M36" i="1"/>
  <c r="Q36" i="1"/>
  <c r="U36" i="1"/>
  <c r="O16" i="1"/>
  <c r="S16" i="1"/>
  <c r="W16" i="1"/>
  <c r="N16" i="1"/>
  <c r="T16" i="1"/>
  <c r="P16" i="1"/>
  <c r="U16" i="1"/>
  <c r="Q16" i="1"/>
  <c r="V16" i="1"/>
  <c r="R16" i="1"/>
  <c r="X16" i="1"/>
  <c r="W522" i="1"/>
  <c r="S522" i="1"/>
  <c r="W521" i="1"/>
  <c r="S521" i="1"/>
  <c r="W520" i="1"/>
  <c r="S520" i="1"/>
  <c r="W519" i="1"/>
  <c r="S519" i="1"/>
  <c r="N519" i="1"/>
  <c r="U518" i="1"/>
  <c r="V517" i="1"/>
  <c r="O516" i="1"/>
  <c r="S516" i="1"/>
  <c r="W516" i="1"/>
  <c r="T515" i="1"/>
  <c r="U514" i="1"/>
  <c r="V513" i="1"/>
  <c r="Q513" i="1"/>
  <c r="O512" i="1"/>
  <c r="S512" i="1"/>
  <c r="W512" i="1"/>
  <c r="T511" i="1"/>
  <c r="U510" i="1"/>
  <c r="V509" i="1"/>
  <c r="O508" i="1"/>
  <c r="S508" i="1"/>
  <c r="W508" i="1"/>
  <c r="T507" i="1"/>
  <c r="U506" i="1"/>
  <c r="V505" i="1"/>
  <c r="O504" i="1"/>
  <c r="S504" i="1"/>
  <c r="W504" i="1"/>
  <c r="T503" i="1"/>
  <c r="U502" i="1"/>
  <c r="V501" i="1"/>
  <c r="O517" i="1"/>
  <c r="S517" i="1"/>
  <c r="W517" i="1"/>
  <c r="O509" i="1"/>
  <c r="S509" i="1"/>
  <c r="W509" i="1"/>
  <c r="O505" i="1"/>
  <c r="S505" i="1"/>
  <c r="W505" i="1"/>
  <c r="O501" i="1"/>
  <c r="S501" i="1"/>
  <c r="W501" i="1"/>
  <c r="O368" i="1"/>
  <c r="S368" i="1"/>
  <c r="W368" i="1"/>
  <c r="N368" i="1"/>
  <c r="T368" i="1"/>
  <c r="P368" i="1"/>
  <c r="U368" i="1"/>
  <c r="Q368" i="1"/>
  <c r="V368" i="1"/>
  <c r="O324" i="1"/>
  <c r="S324" i="1"/>
  <c r="W324" i="1"/>
  <c r="N324" i="1"/>
  <c r="T324" i="1"/>
  <c r="P324" i="1"/>
  <c r="U324" i="1"/>
  <c r="Q324" i="1"/>
  <c r="V324" i="1"/>
  <c r="O308" i="1"/>
  <c r="S308" i="1"/>
  <c r="W308" i="1"/>
  <c r="N308" i="1"/>
  <c r="T308" i="1"/>
  <c r="P308" i="1"/>
  <c r="U308" i="1"/>
  <c r="Q308" i="1"/>
  <c r="V308" i="1"/>
  <c r="P517" i="1"/>
  <c r="O515" i="1"/>
  <c r="S515" i="1"/>
  <c r="W515" i="1"/>
  <c r="U509" i="1"/>
  <c r="O507" i="1"/>
  <c r="S507" i="1"/>
  <c r="W507" i="1"/>
  <c r="U505" i="1"/>
  <c r="U501" i="1"/>
  <c r="X368" i="1"/>
  <c r="X360" i="1"/>
  <c r="X344" i="1"/>
  <c r="X340" i="1"/>
  <c r="X336" i="1"/>
  <c r="X328" i="1"/>
  <c r="X324" i="1"/>
  <c r="X308" i="1"/>
  <c r="O372" i="1"/>
  <c r="S372" i="1"/>
  <c r="W372" i="1"/>
  <c r="N372" i="1"/>
  <c r="T372" i="1"/>
  <c r="P372" i="1"/>
  <c r="U372" i="1"/>
  <c r="Q372" i="1"/>
  <c r="V372" i="1"/>
  <c r="O364" i="1"/>
  <c r="S364" i="1"/>
  <c r="W364" i="1"/>
  <c r="N364" i="1"/>
  <c r="T364" i="1"/>
  <c r="P364" i="1"/>
  <c r="U364" i="1"/>
  <c r="Q364" i="1"/>
  <c r="V364" i="1"/>
  <c r="O356" i="1"/>
  <c r="S356" i="1"/>
  <c r="W356" i="1"/>
  <c r="N356" i="1"/>
  <c r="T356" i="1"/>
  <c r="P356" i="1"/>
  <c r="U356" i="1"/>
  <c r="Q356" i="1"/>
  <c r="V356" i="1"/>
  <c r="O352" i="1"/>
  <c r="S352" i="1"/>
  <c r="W352" i="1"/>
  <c r="N352" i="1"/>
  <c r="T352" i="1"/>
  <c r="P352" i="1"/>
  <c r="U352" i="1"/>
  <c r="Q352" i="1"/>
  <c r="V352" i="1"/>
  <c r="O348" i="1"/>
  <c r="S348" i="1"/>
  <c r="W348" i="1"/>
  <c r="N348" i="1"/>
  <c r="T348" i="1"/>
  <c r="P348" i="1"/>
  <c r="U348" i="1"/>
  <c r="Q348" i="1"/>
  <c r="V348" i="1"/>
  <c r="O332" i="1"/>
  <c r="S332" i="1"/>
  <c r="W332" i="1"/>
  <c r="N332" i="1"/>
  <c r="T332" i="1"/>
  <c r="P332" i="1"/>
  <c r="U332" i="1"/>
  <c r="Q332" i="1"/>
  <c r="V332" i="1"/>
  <c r="O320" i="1"/>
  <c r="S320" i="1"/>
  <c r="W320" i="1"/>
  <c r="N320" i="1"/>
  <c r="T320" i="1"/>
  <c r="P320" i="1"/>
  <c r="U320" i="1"/>
  <c r="Q320" i="1"/>
  <c r="V320" i="1"/>
  <c r="O316" i="1"/>
  <c r="S316" i="1"/>
  <c r="W316" i="1"/>
  <c r="N316" i="1"/>
  <c r="T316" i="1"/>
  <c r="P316" i="1"/>
  <c r="U316" i="1"/>
  <c r="Q316" i="1"/>
  <c r="V316" i="1"/>
  <c r="O312" i="1"/>
  <c r="S312" i="1"/>
  <c r="W312" i="1"/>
  <c r="N312" i="1"/>
  <c r="T312" i="1"/>
  <c r="P312" i="1"/>
  <c r="U312" i="1"/>
  <c r="Q312" i="1"/>
  <c r="V312" i="1"/>
  <c r="U517" i="1"/>
  <c r="U513" i="1"/>
  <c r="P513" i="1"/>
  <c r="O511" i="1"/>
  <c r="S511" i="1"/>
  <c r="W511" i="1"/>
  <c r="P509" i="1"/>
  <c r="P505" i="1"/>
  <c r="O503" i="1"/>
  <c r="S503" i="1"/>
  <c r="W503" i="1"/>
  <c r="P501" i="1"/>
  <c r="U519" i="1"/>
  <c r="Q519" i="1"/>
  <c r="O518" i="1"/>
  <c r="S518" i="1"/>
  <c r="W518" i="1"/>
  <c r="T517" i="1"/>
  <c r="N517" i="1"/>
  <c r="V515" i="1"/>
  <c r="Q515" i="1"/>
  <c r="O514" i="1"/>
  <c r="S514" i="1"/>
  <c r="W514" i="1"/>
  <c r="T513" i="1"/>
  <c r="N513" i="1"/>
  <c r="V511" i="1"/>
  <c r="Q511" i="1"/>
  <c r="O510" i="1"/>
  <c r="S510" i="1"/>
  <c r="W510" i="1"/>
  <c r="T509" i="1"/>
  <c r="N509" i="1"/>
  <c r="V507" i="1"/>
  <c r="Q507" i="1"/>
  <c r="O506" i="1"/>
  <c r="S506" i="1"/>
  <c r="W506" i="1"/>
  <c r="T505" i="1"/>
  <c r="N505" i="1"/>
  <c r="V503" i="1"/>
  <c r="Q503" i="1"/>
  <c r="O502" i="1"/>
  <c r="S502" i="1"/>
  <c r="W502" i="1"/>
  <c r="T501" i="1"/>
  <c r="N501" i="1"/>
  <c r="R372" i="1"/>
  <c r="R368" i="1"/>
  <c r="R364" i="1"/>
  <c r="R360" i="1"/>
  <c r="R356" i="1"/>
  <c r="R352" i="1"/>
  <c r="R348" i="1"/>
  <c r="R344" i="1"/>
  <c r="R340" i="1"/>
  <c r="R336" i="1"/>
  <c r="R332" i="1"/>
  <c r="R328" i="1"/>
  <c r="R324" i="1"/>
  <c r="R320" i="1"/>
  <c r="R316" i="1"/>
  <c r="R312" i="1"/>
  <c r="R308" i="1"/>
  <c r="W500" i="1"/>
  <c r="S500" i="1"/>
  <c r="W499" i="1"/>
  <c r="S499" i="1"/>
  <c r="W498" i="1"/>
  <c r="S498" i="1"/>
  <c r="W497" i="1"/>
  <c r="S497" i="1"/>
  <c r="W496" i="1"/>
  <c r="S496" i="1"/>
  <c r="W495" i="1"/>
  <c r="S495" i="1"/>
  <c r="W494" i="1"/>
  <c r="S494" i="1"/>
  <c r="W493" i="1"/>
  <c r="S493" i="1"/>
  <c r="W492" i="1"/>
  <c r="S492" i="1"/>
  <c r="W491" i="1"/>
  <c r="S491" i="1"/>
  <c r="W490" i="1"/>
  <c r="S490" i="1"/>
  <c r="W489" i="1"/>
  <c r="S489" i="1"/>
  <c r="O371" i="1"/>
  <c r="S371" i="1"/>
  <c r="W371" i="1"/>
  <c r="T370" i="1"/>
  <c r="O367" i="1"/>
  <c r="S367" i="1"/>
  <c r="W367" i="1"/>
  <c r="T366" i="1"/>
  <c r="O363" i="1"/>
  <c r="S363" i="1"/>
  <c r="W363" i="1"/>
  <c r="T362" i="1"/>
  <c r="O359" i="1"/>
  <c r="S359" i="1"/>
  <c r="W359" i="1"/>
  <c r="T358" i="1"/>
  <c r="O355" i="1"/>
  <c r="S355" i="1"/>
  <c r="W355" i="1"/>
  <c r="T354" i="1"/>
  <c r="O351" i="1"/>
  <c r="S351" i="1"/>
  <c r="W351" i="1"/>
  <c r="T350" i="1"/>
  <c r="O347" i="1"/>
  <c r="S347" i="1"/>
  <c r="W347" i="1"/>
  <c r="T346" i="1"/>
  <c r="O343" i="1"/>
  <c r="S343" i="1"/>
  <c r="W343" i="1"/>
  <c r="T342" i="1"/>
  <c r="O339" i="1"/>
  <c r="S339" i="1"/>
  <c r="W339" i="1"/>
  <c r="T338" i="1"/>
  <c r="O335" i="1"/>
  <c r="S335" i="1"/>
  <c r="W335" i="1"/>
  <c r="T334" i="1"/>
  <c r="O331" i="1"/>
  <c r="S331" i="1"/>
  <c r="W331" i="1"/>
  <c r="T330" i="1"/>
  <c r="O327" i="1"/>
  <c r="S327" i="1"/>
  <c r="W327" i="1"/>
  <c r="T326" i="1"/>
  <c r="O323" i="1"/>
  <c r="S323" i="1"/>
  <c r="W323" i="1"/>
  <c r="T322" i="1"/>
  <c r="O319" i="1"/>
  <c r="S319" i="1"/>
  <c r="W319" i="1"/>
  <c r="T318" i="1"/>
  <c r="O315" i="1"/>
  <c r="S315" i="1"/>
  <c r="W315" i="1"/>
  <c r="T314" i="1"/>
  <c r="O311" i="1"/>
  <c r="S311" i="1"/>
  <c r="W311" i="1"/>
  <c r="T310" i="1"/>
  <c r="N40" i="1"/>
  <c r="R40" i="1"/>
  <c r="V40" i="1"/>
  <c r="O40" i="1"/>
  <c r="S40" i="1"/>
  <c r="W40" i="1"/>
  <c r="P40" i="1"/>
  <c r="T40" i="1"/>
  <c r="X40" i="1"/>
  <c r="M40" i="1"/>
  <c r="Q40" i="1"/>
  <c r="U40" i="1"/>
  <c r="O370" i="1"/>
  <c r="S370" i="1"/>
  <c r="W370" i="1"/>
  <c r="O366" i="1"/>
  <c r="S366" i="1"/>
  <c r="W366" i="1"/>
  <c r="O362" i="1"/>
  <c r="S362" i="1"/>
  <c r="W362" i="1"/>
  <c r="O358" i="1"/>
  <c r="S358" i="1"/>
  <c r="W358" i="1"/>
  <c r="O354" i="1"/>
  <c r="S354" i="1"/>
  <c r="W354" i="1"/>
  <c r="O350" i="1"/>
  <c r="S350" i="1"/>
  <c r="W350" i="1"/>
  <c r="O346" i="1"/>
  <c r="S346" i="1"/>
  <c r="W346" i="1"/>
  <c r="O342" i="1"/>
  <c r="S342" i="1"/>
  <c r="W342" i="1"/>
  <c r="O338" i="1"/>
  <c r="S338" i="1"/>
  <c r="W338" i="1"/>
  <c r="O334" i="1"/>
  <c r="S334" i="1"/>
  <c r="W334" i="1"/>
  <c r="O330" i="1"/>
  <c r="S330" i="1"/>
  <c r="W330" i="1"/>
  <c r="O326" i="1"/>
  <c r="S326" i="1"/>
  <c r="W326" i="1"/>
  <c r="O322" i="1"/>
  <c r="S322" i="1"/>
  <c r="W322" i="1"/>
  <c r="O318" i="1"/>
  <c r="S318" i="1"/>
  <c r="W318" i="1"/>
  <c r="O314" i="1"/>
  <c r="S314" i="1"/>
  <c r="W314" i="1"/>
  <c r="O310" i="1"/>
  <c r="S310" i="1"/>
  <c r="W310" i="1"/>
  <c r="O189" i="1"/>
  <c r="S189" i="1"/>
  <c r="W189" i="1"/>
  <c r="N189" i="1"/>
  <c r="T189" i="1"/>
  <c r="P189" i="1"/>
  <c r="U189" i="1"/>
  <c r="Q189" i="1"/>
  <c r="V189" i="1"/>
  <c r="O185" i="1"/>
  <c r="S185" i="1"/>
  <c r="W185" i="1"/>
  <c r="N185" i="1"/>
  <c r="T185" i="1"/>
  <c r="P185" i="1"/>
  <c r="U185" i="1"/>
  <c r="Q185" i="1"/>
  <c r="V185" i="1"/>
  <c r="O181" i="1"/>
  <c r="S181" i="1"/>
  <c r="W181" i="1"/>
  <c r="N181" i="1"/>
  <c r="T181" i="1"/>
  <c r="P181" i="1"/>
  <c r="U181" i="1"/>
  <c r="Q181" i="1"/>
  <c r="V181" i="1"/>
  <c r="O177" i="1"/>
  <c r="S177" i="1"/>
  <c r="W177" i="1"/>
  <c r="N177" i="1"/>
  <c r="T177" i="1"/>
  <c r="P177" i="1"/>
  <c r="U177" i="1"/>
  <c r="Q177" i="1"/>
  <c r="V177" i="1"/>
  <c r="O173" i="1"/>
  <c r="S173" i="1"/>
  <c r="W173" i="1"/>
  <c r="N173" i="1"/>
  <c r="T173" i="1"/>
  <c r="P173" i="1"/>
  <c r="U173" i="1"/>
  <c r="Q173" i="1"/>
  <c r="V173" i="1"/>
  <c r="O169" i="1"/>
  <c r="S169" i="1"/>
  <c r="W169" i="1"/>
  <c r="N169" i="1"/>
  <c r="T169" i="1"/>
  <c r="P169" i="1"/>
  <c r="U169" i="1"/>
  <c r="Q169" i="1"/>
  <c r="V169" i="1"/>
  <c r="O165" i="1"/>
  <c r="S165" i="1"/>
  <c r="W165" i="1"/>
  <c r="N165" i="1"/>
  <c r="T165" i="1"/>
  <c r="P165" i="1"/>
  <c r="U165" i="1"/>
  <c r="Q165" i="1"/>
  <c r="V165" i="1"/>
  <c r="O161" i="1"/>
  <c r="S161" i="1"/>
  <c r="W161" i="1"/>
  <c r="N161" i="1"/>
  <c r="T161" i="1"/>
  <c r="P161" i="1"/>
  <c r="U161" i="1"/>
  <c r="Q161" i="1"/>
  <c r="V161" i="1"/>
  <c r="N44" i="1"/>
  <c r="R44" i="1"/>
  <c r="V44" i="1"/>
  <c r="O44" i="1"/>
  <c r="S44" i="1"/>
  <c r="W44" i="1"/>
  <c r="P44" i="1"/>
  <c r="T44" i="1"/>
  <c r="X44" i="1"/>
  <c r="M44" i="1"/>
  <c r="Q44" i="1"/>
  <c r="U44" i="1"/>
  <c r="U371" i="1"/>
  <c r="P371" i="1"/>
  <c r="V370" i="1"/>
  <c r="Q370" i="1"/>
  <c r="O369" i="1"/>
  <c r="S369" i="1"/>
  <c r="W369" i="1"/>
  <c r="U367" i="1"/>
  <c r="P367" i="1"/>
  <c r="V366" i="1"/>
  <c r="Q366" i="1"/>
  <c r="O365" i="1"/>
  <c r="S365" i="1"/>
  <c r="W365" i="1"/>
  <c r="U363" i="1"/>
  <c r="P363" i="1"/>
  <c r="V362" i="1"/>
  <c r="Q362" i="1"/>
  <c r="O361" i="1"/>
  <c r="S361" i="1"/>
  <c r="W361" i="1"/>
  <c r="U359" i="1"/>
  <c r="P359" i="1"/>
  <c r="V358" i="1"/>
  <c r="Q358" i="1"/>
  <c r="O357" i="1"/>
  <c r="S357" i="1"/>
  <c r="W357" i="1"/>
  <c r="U355" i="1"/>
  <c r="P355" i="1"/>
  <c r="V354" i="1"/>
  <c r="Q354" i="1"/>
  <c r="O353" i="1"/>
  <c r="S353" i="1"/>
  <c r="W353" i="1"/>
  <c r="U351" i="1"/>
  <c r="P351" i="1"/>
  <c r="V350" i="1"/>
  <c r="Q350" i="1"/>
  <c r="O349" i="1"/>
  <c r="S349" i="1"/>
  <c r="W349" i="1"/>
  <c r="U347" i="1"/>
  <c r="P347" i="1"/>
  <c r="V346" i="1"/>
  <c r="Q346" i="1"/>
  <c r="O345" i="1"/>
  <c r="S345" i="1"/>
  <c r="W345" i="1"/>
  <c r="U343" i="1"/>
  <c r="P343" i="1"/>
  <c r="V342" i="1"/>
  <c r="Q342" i="1"/>
  <c r="O341" i="1"/>
  <c r="S341" i="1"/>
  <c r="W341" i="1"/>
  <c r="U339" i="1"/>
  <c r="P339" i="1"/>
  <c r="V338" i="1"/>
  <c r="Q338" i="1"/>
  <c r="O337" i="1"/>
  <c r="S337" i="1"/>
  <c r="W337" i="1"/>
  <c r="U335" i="1"/>
  <c r="P335" i="1"/>
  <c r="V334" i="1"/>
  <c r="Q334" i="1"/>
  <c r="O333" i="1"/>
  <c r="S333" i="1"/>
  <c r="W333" i="1"/>
  <c r="U331" i="1"/>
  <c r="P331" i="1"/>
  <c r="V330" i="1"/>
  <c r="Q330" i="1"/>
  <c r="O329" i="1"/>
  <c r="S329" i="1"/>
  <c r="W329" i="1"/>
  <c r="U327" i="1"/>
  <c r="P327" i="1"/>
  <c r="V326" i="1"/>
  <c r="Q326" i="1"/>
  <c r="O325" i="1"/>
  <c r="S325" i="1"/>
  <c r="W325" i="1"/>
  <c r="U323" i="1"/>
  <c r="P323" i="1"/>
  <c r="V322" i="1"/>
  <c r="Q322" i="1"/>
  <c r="O321" i="1"/>
  <c r="S321" i="1"/>
  <c r="W321" i="1"/>
  <c r="U319" i="1"/>
  <c r="P319" i="1"/>
  <c r="V318" i="1"/>
  <c r="Q318" i="1"/>
  <c r="O317" i="1"/>
  <c r="S317" i="1"/>
  <c r="W317" i="1"/>
  <c r="U315" i="1"/>
  <c r="P315" i="1"/>
  <c r="V314" i="1"/>
  <c r="Q314" i="1"/>
  <c r="O313" i="1"/>
  <c r="S313" i="1"/>
  <c r="W313" i="1"/>
  <c r="U311" i="1"/>
  <c r="P311" i="1"/>
  <c r="V310" i="1"/>
  <c r="Q310" i="1"/>
  <c r="O309" i="1"/>
  <c r="S309" i="1"/>
  <c r="W309" i="1"/>
  <c r="N48" i="1"/>
  <c r="R48" i="1"/>
  <c r="V48" i="1"/>
  <c r="O48" i="1"/>
  <c r="S48" i="1"/>
  <c r="W48" i="1"/>
  <c r="P48" i="1"/>
  <c r="T48" i="1"/>
  <c r="X48" i="1"/>
  <c r="M48" i="1"/>
  <c r="Q48" i="1"/>
  <c r="U48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U190" i="1"/>
  <c r="P190" i="1"/>
  <c r="O188" i="1"/>
  <c r="S188" i="1"/>
  <c r="W188" i="1"/>
  <c r="T187" i="1"/>
  <c r="U186" i="1"/>
  <c r="P186" i="1"/>
  <c r="O184" i="1"/>
  <c r="S184" i="1"/>
  <c r="W184" i="1"/>
  <c r="T183" i="1"/>
  <c r="U182" i="1"/>
  <c r="P182" i="1"/>
  <c r="O180" i="1"/>
  <c r="S180" i="1"/>
  <c r="W180" i="1"/>
  <c r="T179" i="1"/>
  <c r="U178" i="1"/>
  <c r="P178" i="1"/>
  <c r="O176" i="1"/>
  <c r="S176" i="1"/>
  <c r="W176" i="1"/>
  <c r="T175" i="1"/>
  <c r="U174" i="1"/>
  <c r="P174" i="1"/>
  <c r="O172" i="1"/>
  <c r="S172" i="1"/>
  <c r="W172" i="1"/>
  <c r="T171" i="1"/>
  <c r="U170" i="1"/>
  <c r="P170" i="1"/>
  <c r="O168" i="1"/>
  <c r="S168" i="1"/>
  <c r="W168" i="1"/>
  <c r="T167" i="1"/>
  <c r="U166" i="1"/>
  <c r="P166" i="1"/>
  <c r="O164" i="1"/>
  <c r="S164" i="1"/>
  <c r="W164" i="1"/>
  <c r="T163" i="1"/>
  <c r="U162" i="1"/>
  <c r="P162" i="1"/>
  <c r="O160" i="1"/>
  <c r="S160" i="1"/>
  <c r="W160" i="1"/>
  <c r="O28" i="1"/>
  <c r="S28" i="1"/>
  <c r="W28" i="1"/>
  <c r="N28" i="1"/>
  <c r="T28" i="1"/>
  <c r="P28" i="1"/>
  <c r="U28" i="1"/>
  <c r="Q28" i="1"/>
  <c r="V28" i="1"/>
  <c r="R28" i="1"/>
  <c r="X28" i="1"/>
  <c r="X190" i="1"/>
  <c r="T190" i="1"/>
  <c r="O187" i="1"/>
  <c r="S187" i="1"/>
  <c r="W187" i="1"/>
  <c r="T186" i="1"/>
  <c r="O183" i="1"/>
  <c r="S183" i="1"/>
  <c r="W183" i="1"/>
  <c r="T182" i="1"/>
  <c r="O179" i="1"/>
  <c r="S179" i="1"/>
  <c r="W179" i="1"/>
  <c r="T178" i="1"/>
  <c r="O175" i="1"/>
  <c r="S175" i="1"/>
  <c r="W175" i="1"/>
  <c r="T174" i="1"/>
  <c r="O171" i="1"/>
  <c r="S171" i="1"/>
  <c r="W171" i="1"/>
  <c r="T170" i="1"/>
  <c r="O167" i="1"/>
  <c r="S167" i="1"/>
  <c r="W167" i="1"/>
  <c r="T166" i="1"/>
  <c r="O163" i="1"/>
  <c r="S163" i="1"/>
  <c r="W163" i="1"/>
  <c r="T162" i="1"/>
  <c r="W307" i="1"/>
  <c r="S307" i="1"/>
  <c r="W306" i="1"/>
  <c r="S306" i="1"/>
  <c r="W305" i="1"/>
  <c r="S305" i="1"/>
  <c r="W304" i="1"/>
  <c r="S304" i="1"/>
  <c r="W303" i="1"/>
  <c r="S303" i="1"/>
  <c r="W302" i="1"/>
  <c r="S302" i="1"/>
  <c r="W301" i="1"/>
  <c r="S301" i="1"/>
  <c r="W300" i="1"/>
  <c r="S300" i="1"/>
  <c r="W299" i="1"/>
  <c r="S299" i="1"/>
  <c r="W298" i="1"/>
  <c r="S298" i="1"/>
  <c r="W297" i="1"/>
  <c r="S297" i="1"/>
  <c r="W296" i="1"/>
  <c r="S296" i="1"/>
  <c r="W295" i="1"/>
  <c r="S295" i="1"/>
  <c r="W294" i="1"/>
  <c r="S294" i="1"/>
  <c r="W293" i="1"/>
  <c r="S293" i="1"/>
  <c r="W292" i="1"/>
  <c r="S292" i="1"/>
  <c r="W291" i="1"/>
  <c r="S291" i="1"/>
  <c r="W290" i="1"/>
  <c r="S290" i="1"/>
  <c r="W289" i="1"/>
  <c r="S289" i="1"/>
  <c r="W288" i="1"/>
  <c r="S288" i="1"/>
  <c r="W287" i="1"/>
  <c r="S287" i="1"/>
  <c r="W286" i="1"/>
  <c r="S286" i="1"/>
  <c r="W285" i="1"/>
  <c r="S285" i="1"/>
  <c r="W284" i="1"/>
  <c r="S284" i="1"/>
  <c r="W283" i="1"/>
  <c r="S283" i="1"/>
  <c r="W282" i="1"/>
  <c r="S282" i="1"/>
  <c r="W281" i="1"/>
  <c r="S281" i="1"/>
  <c r="W280" i="1"/>
  <c r="S280" i="1"/>
  <c r="W279" i="1"/>
  <c r="S279" i="1"/>
  <c r="W278" i="1"/>
  <c r="S278" i="1"/>
  <c r="W277" i="1"/>
  <c r="S277" i="1"/>
  <c r="W276" i="1"/>
  <c r="S276" i="1"/>
  <c r="W275" i="1"/>
  <c r="S275" i="1"/>
  <c r="W274" i="1"/>
  <c r="S274" i="1"/>
  <c r="W273" i="1"/>
  <c r="S273" i="1"/>
  <c r="W272" i="1"/>
  <c r="S272" i="1"/>
  <c r="W271" i="1"/>
  <c r="S271" i="1"/>
  <c r="W270" i="1"/>
  <c r="S270" i="1"/>
  <c r="W269" i="1"/>
  <c r="S269" i="1"/>
  <c r="W268" i="1"/>
  <c r="S268" i="1"/>
  <c r="W267" i="1"/>
  <c r="S267" i="1"/>
  <c r="W266" i="1"/>
  <c r="S266" i="1"/>
  <c r="O190" i="1"/>
  <c r="S190" i="1"/>
  <c r="O186" i="1"/>
  <c r="S186" i="1"/>
  <c r="W186" i="1"/>
  <c r="O182" i="1"/>
  <c r="S182" i="1"/>
  <c r="W182" i="1"/>
  <c r="O178" i="1"/>
  <c r="S178" i="1"/>
  <c r="W178" i="1"/>
  <c r="O174" i="1"/>
  <c r="S174" i="1"/>
  <c r="W174" i="1"/>
  <c r="O170" i="1"/>
  <c r="S170" i="1"/>
  <c r="W170" i="1"/>
  <c r="O166" i="1"/>
  <c r="S166" i="1"/>
  <c r="W166" i="1"/>
  <c r="O162" i="1"/>
  <c r="S162" i="1"/>
  <c r="W162" i="1"/>
  <c r="O56" i="1"/>
  <c r="S56" i="1"/>
  <c r="W56" i="1"/>
  <c r="P56" i="1"/>
  <c r="T56" i="1"/>
  <c r="X56" i="1"/>
  <c r="M56" i="1"/>
  <c r="Q56" i="1"/>
  <c r="U56" i="1"/>
  <c r="P55" i="1"/>
  <c r="T55" i="1"/>
  <c r="X55" i="1"/>
  <c r="O55" i="1"/>
  <c r="U55" i="1"/>
  <c r="Q55" i="1"/>
  <c r="V55" i="1"/>
  <c r="M55" i="1"/>
  <c r="R55" i="1"/>
  <c r="W55" i="1"/>
  <c r="O24" i="1"/>
  <c r="S24" i="1"/>
  <c r="W24" i="1"/>
  <c r="N24" i="1"/>
  <c r="T24" i="1"/>
  <c r="P24" i="1"/>
  <c r="U24" i="1"/>
  <c r="Q24" i="1"/>
  <c r="V24" i="1"/>
  <c r="R24" i="1"/>
  <c r="X24" i="1"/>
  <c r="E56" i="1"/>
  <c r="E55" i="1"/>
  <c r="W54" i="1"/>
  <c r="R54" i="1"/>
  <c r="U53" i="1"/>
  <c r="U52" i="1"/>
  <c r="U51" i="1"/>
  <c r="U50" i="1"/>
  <c r="U49" i="1"/>
  <c r="N47" i="1"/>
  <c r="R47" i="1"/>
  <c r="V47" i="1"/>
  <c r="O47" i="1"/>
  <c r="S47" i="1"/>
  <c r="W47" i="1"/>
  <c r="P47" i="1"/>
  <c r="T47" i="1"/>
  <c r="X47" i="1"/>
  <c r="N43" i="1"/>
  <c r="R43" i="1"/>
  <c r="V43" i="1"/>
  <c r="O43" i="1"/>
  <c r="S43" i="1"/>
  <c r="W43" i="1"/>
  <c r="P43" i="1"/>
  <c r="T43" i="1"/>
  <c r="X43" i="1"/>
  <c r="N39" i="1"/>
  <c r="R39" i="1"/>
  <c r="V39" i="1"/>
  <c r="O39" i="1"/>
  <c r="S39" i="1"/>
  <c r="W39" i="1"/>
  <c r="P39" i="1"/>
  <c r="T39" i="1"/>
  <c r="X39" i="1"/>
  <c r="N46" i="1"/>
  <c r="R46" i="1"/>
  <c r="V46" i="1"/>
  <c r="O46" i="1"/>
  <c r="S46" i="1"/>
  <c r="W46" i="1"/>
  <c r="P46" i="1"/>
  <c r="T46" i="1"/>
  <c r="X46" i="1"/>
  <c r="N42" i="1"/>
  <c r="R42" i="1"/>
  <c r="V42" i="1"/>
  <c r="O42" i="1"/>
  <c r="S42" i="1"/>
  <c r="W42" i="1"/>
  <c r="P42" i="1"/>
  <c r="T42" i="1"/>
  <c r="X42" i="1"/>
  <c r="N38" i="1"/>
  <c r="R38" i="1"/>
  <c r="V38" i="1"/>
  <c r="O38" i="1"/>
  <c r="S38" i="1"/>
  <c r="W38" i="1"/>
  <c r="P38" i="1"/>
  <c r="T38" i="1"/>
  <c r="X38" i="1"/>
  <c r="O32" i="1"/>
  <c r="S32" i="1"/>
  <c r="W32" i="1"/>
  <c r="N32" i="1"/>
  <c r="T32" i="1"/>
  <c r="P32" i="1"/>
  <c r="U32" i="1"/>
  <c r="Q32" i="1"/>
  <c r="V32" i="1"/>
  <c r="O20" i="1"/>
  <c r="S20" i="1"/>
  <c r="W20" i="1"/>
  <c r="N20" i="1"/>
  <c r="T20" i="1"/>
  <c r="P20" i="1"/>
  <c r="U20" i="1"/>
  <c r="Q20" i="1"/>
  <c r="V20" i="1"/>
  <c r="W159" i="1"/>
  <c r="S159" i="1"/>
  <c r="W158" i="1"/>
  <c r="S158" i="1"/>
  <c r="W157" i="1"/>
  <c r="S157" i="1"/>
  <c r="W156" i="1"/>
  <c r="S156" i="1"/>
  <c r="W155" i="1"/>
  <c r="S155" i="1"/>
  <c r="W154" i="1"/>
  <c r="S154" i="1"/>
  <c r="W153" i="1"/>
  <c r="S153" i="1"/>
  <c r="W152" i="1"/>
  <c r="S152" i="1"/>
  <c r="W151" i="1"/>
  <c r="S151" i="1"/>
  <c r="W150" i="1"/>
  <c r="S150" i="1"/>
  <c r="W149" i="1"/>
  <c r="S149" i="1"/>
  <c r="W148" i="1"/>
  <c r="S148" i="1"/>
  <c r="W147" i="1"/>
  <c r="S147" i="1"/>
  <c r="W146" i="1"/>
  <c r="S146" i="1"/>
  <c r="W145" i="1"/>
  <c r="S145" i="1"/>
  <c r="W144" i="1"/>
  <c r="S144" i="1"/>
  <c r="W143" i="1"/>
  <c r="S143" i="1"/>
  <c r="W142" i="1"/>
  <c r="S142" i="1"/>
  <c r="W141" i="1"/>
  <c r="S141" i="1"/>
  <c r="W140" i="1"/>
  <c r="S140" i="1"/>
  <c r="S139" i="1"/>
  <c r="F54" i="1"/>
  <c r="D54" i="1"/>
  <c r="P54" i="1"/>
  <c r="T54" i="1"/>
  <c r="X54" i="1"/>
  <c r="F53" i="1"/>
  <c r="D53" i="1"/>
  <c r="N53" i="1"/>
  <c r="R53" i="1"/>
  <c r="V53" i="1"/>
  <c r="P53" i="1"/>
  <c r="T53" i="1"/>
  <c r="X53" i="1"/>
  <c r="F52" i="1"/>
  <c r="D52" i="1"/>
  <c r="N52" i="1"/>
  <c r="R52" i="1"/>
  <c r="V52" i="1"/>
  <c r="P52" i="1"/>
  <c r="T52" i="1"/>
  <c r="X52" i="1"/>
  <c r="F51" i="1"/>
  <c r="D51" i="1"/>
  <c r="N51" i="1"/>
  <c r="R51" i="1"/>
  <c r="V51" i="1"/>
  <c r="P51" i="1"/>
  <c r="T51" i="1"/>
  <c r="X51" i="1"/>
  <c r="F50" i="1"/>
  <c r="D50" i="1"/>
  <c r="N50" i="1"/>
  <c r="R50" i="1"/>
  <c r="V50" i="1"/>
  <c r="P50" i="1"/>
  <c r="T50" i="1"/>
  <c r="X50" i="1"/>
  <c r="F49" i="1"/>
  <c r="D49" i="1"/>
  <c r="N49" i="1"/>
  <c r="R49" i="1"/>
  <c r="V49" i="1"/>
  <c r="P49" i="1"/>
  <c r="T49" i="1"/>
  <c r="X49" i="1"/>
  <c r="Q46" i="1"/>
  <c r="N45" i="1"/>
  <c r="R45" i="1"/>
  <c r="V45" i="1"/>
  <c r="O45" i="1"/>
  <c r="S45" i="1"/>
  <c r="W45" i="1"/>
  <c r="P45" i="1"/>
  <c r="T45" i="1"/>
  <c r="X45" i="1"/>
  <c r="Q42" i="1"/>
  <c r="N41" i="1"/>
  <c r="R41" i="1"/>
  <c r="V41" i="1"/>
  <c r="O41" i="1"/>
  <c r="S41" i="1"/>
  <c r="W41" i="1"/>
  <c r="P41" i="1"/>
  <c r="T41" i="1"/>
  <c r="X41" i="1"/>
  <c r="Q38" i="1"/>
  <c r="N37" i="1"/>
  <c r="R37" i="1"/>
  <c r="V37" i="1"/>
  <c r="O37" i="1"/>
  <c r="S37" i="1"/>
  <c r="W37" i="1"/>
  <c r="P37" i="1"/>
  <c r="T37" i="1"/>
  <c r="X37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O35" i="1"/>
  <c r="S35" i="1"/>
  <c r="W35" i="1"/>
  <c r="T34" i="1"/>
  <c r="U33" i="1"/>
  <c r="O31" i="1"/>
  <c r="S31" i="1"/>
  <c r="W31" i="1"/>
  <c r="T30" i="1"/>
  <c r="U29" i="1"/>
  <c r="O27" i="1"/>
  <c r="S27" i="1"/>
  <c r="W27" i="1"/>
  <c r="T26" i="1"/>
  <c r="O23" i="1"/>
  <c r="S23" i="1"/>
  <c r="W23" i="1"/>
  <c r="O19" i="1"/>
  <c r="S19" i="1"/>
  <c r="W19" i="1"/>
  <c r="O34" i="1"/>
  <c r="S34" i="1"/>
  <c r="W34" i="1"/>
  <c r="O30" i="1"/>
  <c r="S30" i="1"/>
  <c r="W30" i="1"/>
  <c r="O26" i="1"/>
  <c r="S26" i="1"/>
  <c r="W26" i="1"/>
  <c r="O22" i="1"/>
  <c r="S22" i="1"/>
  <c r="W22" i="1"/>
  <c r="O18" i="1"/>
  <c r="S18" i="1"/>
  <c r="W18" i="1"/>
  <c r="O33" i="1"/>
  <c r="S33" i="1"/>
  <c r="W33" i="1"/>
  <c r="O29" i="1"/>
  <c r="S29" i="1"/>
  <c r="W29" i="1"/>
  <c r="O25" i="1"/>
  <c r="S25" i="1"/>
  <c r="W25" i="1"/>
  <c r="O21" i="1"/>
  <c r="S21" i="1"/>
  <c r="W21" i="1"/>
  <c r="O17" i="1"/>
  <c r="S17" i="1"/>
  <c r="W17" i="1"/>
  <c r="W15" i="1"/>
  <c r="S15" i="1"/>
  <c r="W14" i="1"/>
  <c r="S14" i="1"/>
  <c r="W13" i="1"/>
  <c r="S13" i="1"/>
  <c r="W12" i="1"/>
  <c r="S12" i="1"/>
  <c r="W11" i="1"/>
  <c r="S11" i="1"/>
  <c r="W10" i="1"/>
  <c r="S10" i="1"/>
  <c r="W9" i="1"/>
  <c r="S9" i="1"/>
  <c r="W8" i="1"/>
  <c r="S8" i="1"/>
  <c r="A4" i="1"/>
  <c r="G4" i="1" l="1"/>
  <c r="F4" i="1" l="1"/>
  <c r="E4" i="1"/>
  <c r="D4" i="1"/>
  <c r="V4" i="1" l="1"/>
  <c r="X4" i="1"/>
  <c r="P4" i="1"/>
  <c r="R4" i="1"/>
  <c r="T4" i="1"/>
  <c r="N4" i="1"/>
</calcChain>
</file>

<file path=xl/sharedStrings.xml><?xml version="1.0" encoding="utf-8"?>
<sst xmlns="http://schemas.openxmlformats.org/spreadsheetml/2006/main" count="3246" uniqueCount="158">
  <si>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</si>
  <si>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</si>
  <si>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</si>
  <si>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</si>
  <si>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</si>
  <si>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</si>
  <si>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</si>
  <si>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</si>
  <si>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</si>
  <si>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</si>
  <si>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</si>
  <si>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</si>
  <si>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</si>
  <si>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</si>
  <si>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</si>
  <si>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</si>
  <si>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</si>
  <si>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</si>
  <si>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</si>
  <si>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</si>
  <si>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</si>
  <si>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</si>
  <si>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</si>
  <si>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</si>
  <si>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</si>
  <si>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</si>
  <si>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</si>
  <si>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</si>
  <si>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</si>
  <si>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</si>
  <si>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</si>
  <si>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</si>
  <si>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</si>
  <si>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 xml:space="preserve"> Id Competiteur</t>
  </si>
  <si>
    <t xml:space="preserve"> Prenom</t>
  </si>
  <si>
    <t xml:space="preserve"> Nom</t>
  </si>
  <si>
    <t xml:space="preserve"> Sexe</t>
  </si>
  <si>
    <t xml:space="preserve"> Equipe</t>
  </si>
  <si>
    <t xml:space="preserve"> Annonce(s/m)</t>
  </si>
  <si>
    <t xml:space="preserve"> Seuil Min</t>
  </si>
  <si>
    <t xml:space="preserve"> Seuil Max</t>
  </si>
  <si>
    <t xml:space="preserve"> Num Serie</t>
  </si>
  <si>
    <t xml:space="preserve"> Heure de passage</t>
  </si>
  <si>
    <t>H</t>
  </si>
  <si>
    <t>Sportpleizh</t>
  </si>
  <si>
    <t>Aurélien</t>
  </si>
  <si>
    <t>Apneaman, Praha, Czech Republic</t>
  </si>
  <si>
    <t>Katerina</t>
  </si>
  <si>
    <t>SURANSKA</t>
  </si>
  <si>
    <t>F</t>
  </si>
  <si>
    <t>LANOISELIER</t>
  </si>
  <si>
    <t>SavoyOuBien?</t>
  </si>
  <si>
    <t>Richard</t>
  </si>
  <si>
    <t>JAUFFRAUD</t>
  </si>
  <si>
    <t>Imashi</t>
  </si>
  <si>
    <t>Philippe</t>
  </si>
  <si>
    <t>GUILLOUX</t>
  </si>
  <si>
    <t>Anne</t>
  </si>
  <si>
    <t>BORGAT</t>
  </si>
  <si>
    <t>CYRNEA</t>
  </si>
  <si>
    <t>Charles</t>
  </si>
  <si>
    <t>TISSOT</t>
  </si>
  <si>
    <t>Olivier</t>
  </si>
  <si>
    <t>DURET</t>
  </si>
  <si>
    <t>LIMULES</t>
  </si>
  <si>
    <t>coralie</t>
  </si>
  <si>
    <t>MARIE</t>
  </si>
  <si>
    <t>Xavier</t>
  </si>
  <si>
    <t>HERENT</t>
  </si>
  <si>
    <t>Les Cormorans 2</t>
  </si>
  <si>
    <t>Stephanie</t>
  </si>
  <si>
    <t>DELICOURT</t>
  </si>
  <si>
    <t>Enjoy And Relax</t>
  </si>
  <si>
    <t>Benoît</t>
  </si>
  <si>
    <t>ROUX</t>
  </si>
  <si>
    <t>Alexandre</t>
  </si>
  <si>
    <t>GASS</t>
  </si>
  <si>
    <t>Les Cormorans 1</t>
  </si>
  <si>
    <t>Michelle</t>
  </si>
  <si>
    <t>QUERY</t>
  </si>
  <si>
    <t>Omr</t>
  </si>
  <si>
    <t>SALEH</t>
  </si>
  <si>
    <t>SOLO</t>
  </si>
  <si>
    <t>Christopher</t>
  </si>
  <si>
    <t>BRATANIC</t>
  </si>
  <si>
    <t>Stéphane</t>
  </si>
  <si>
    <t>PETTENUZZO</t>
  </si>
  <si>
    <t>Rodoplhe</t>
  </si>
  <si>
    <t>DUCRUIX</t>
  </si>
  <si>
    <t>Michal</t>
  </si>
  <si>
    <t>RISIAN</t>
  </si>
  <si>
    <t>Pascal</t>
  </si>
  <si>
    <t>HURON</t>
  </si>
  <si>
    <t>ELU</t>
  </si>
  <si>
    <t>Emilie</t>
  </si>
  <si>
    <t>VERNIER</t>
  </si>
  <si>
    <t>Marie-pierre</t>
  </si>
  <si>
    <t>EKSTETS</t>
  </si>
  <si>
    <t>Aude</t>
  </si>
  <si>
    <t>GATA</t>
  </si>
  <si>
    <t>Patrice</t>
  </si>
  <si>
    <t>PIERRAT</t>
  </si>
  <si>
    <t>Caroline</t>
  </si>
  <si>
    <t>REGNARD</t>
  </si>
  <si>
    <t>Marie</t>
  </si>
  <si>
    <t>DEVANLAY</t>
  </si>
  <si>
    <t>Albane</t>
  </si>
  <si>
    <t>GAUBERT</t>
  </si>
  <si>
    <t>Laetitia</t>
  </si>
  <si>
    <t>ORSKI SIMONET</t>
  </si>
  <si>
    <t>Estelle</t>
  </si>
  <si>
    <t>RIGAUD</t>
  </si>
  <si>
    <t>Loraine</t>
  </si>
  <si>
    <t>HARTMANN</t>
  </si>
  <si>
    <t>Frédérique</t>
  </si>
  <si>
    <t>CORDIER</t>
  </si>
  <si>
    <t>jean-david</t>
  </si>
  <si>
    <t>SOULA</t>
  </si>
  <si>
    <t>Jana</t>
  </si>
  <si>
    <t>SKROBOVA</t>
  </si>
  <si>
    <t>Rachel</t>
  </si>
  <si>
    <t>LEITNER</t>
  </si>
  <si>
    <t>Melissa</t>
  </si>
  <si>
    <t>REIN</t>
  </si>
  <si>
    <t>François</t>
  </si>
  <si>
    <t>BUZET</t>
  </si>
  <si>
    <t>Michel</t>
  </si>
  <si>
    <t>SGARRA</t>
  </si>
  <si>
    <t>Pascale</t>
  </si>
  <si>
    <t>AUBRY</t>
  </si>
  <si>
    <t>Réda</t>
  </si>
  <si>
    <t>GUEHRIA</t>
  </si>
  <si>
    <t>BERRUCAZ</t>
  </si>
  <si>
    <t>Martin</t>
  </si>
  <si>
    <t>ZAJAC</t>
  </si>
  <si>
    <t>Christian</t>
  </si>
  <si>
    <t>VOGLER</t>
  </si>
  <si>
    <t>Mathieu</t>
  </si>
  <si>
    <t>CARCHI</t>
  </si>
  <si>
    <t>SVADLENKA</t>
  </si>
  <si>
    <t>Kevin</t>
  </si>
  <si>
    <t>OLLIVO</t>
  </si>
  <si>
    <t>Etape</t>
  </si>
  <si>
    <t>Ligne</t>
  </si>
  <si>
    <t>COMPILATION DES DIFFERENTS PASSAGES (TOUTES EPREUVES CONFONDUES)</t>
  </si>
  <si>
    <t>EPREUVE</t>
  </si>
  <si>
    <t>APNEISTE</t>
  </si>
  <si>
    <t>ZONE</t>
  </si>
  <si>
    <t>ANNONCE</t>
  </si>
  <si>
    <t>DISQUALIFICATION</t>
  </si>
  <si>
    <t>min</t>
  </si>
  <si>
    <t>s</t>
  </si>
  <si>
    <t>m</t>
  </si>
  <si>
    <t xml:space="preserve">  Num Passage</t>
  </si>
  <si>
    <t>sta</t>
  </si>
  <si>
    <t>dwf</t>
  </si>
  <si>
    <t>spd</t>
  </si>
  <si>
    <t>dnf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</si>
</sst>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164" formatCode="[$-F400]h:mm:ss\ AM/PM"/>
    <numFmt numFmtId="165" formatCode="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7" fillId="0" borderId="0"/>
    <xf numFmtId="44" fontId="11" fillId="0" borderId="0" applyFont="0" applyFill="0" applyBorder="0" applyAlignment="0" applyProtection="0"/>
  </cellStyleXfs>
  <cellXfs count="124">
    <xf numFmtId="0" fontId="0" fillId="0" borderId="0" xfId="0"/>
    <xf numFmtId="0" fontId="0" fillId="0" borderId="0" xfId="0"/>
    <xf numFmtId="0" fontId="2" fillId="0" borderId="0" xfId="0" applyFont="1" applyBorder="1" applyAlignment="1">
      <alignment horizontal="center" vertical="top"/>
    </xf>
    <xf numFmtId="0" fontId="2" fillId="0" borderId="10" xfId="0" applyFont="1" applyBorder="1" applyAlignment="1">
      <alignment horizontal="center" vertical="top"/>
    </xf>
    <xf numFmtId="0" fontId="0" fillId="0" borderId="21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7" xfId="0" applyFont="1" applyBorder="1"/>
    <xf numFmtId="0" fontId="1" fillId="0" borderId="29" xfId="0" applyFont="1" applyBorder="1"/>
    <xf numFmtId="0" fontId="1" fillId="0" borderId="30" xfId="0" applyFont="1" applyBorder="1"/>
    <xf numFmtId="0" fontId="1" fillId="0" borderId="31" xfId="0" applyFont="1" applyBorder="1"/>
    <xf numFmtId="0" fontId="1" fillId="0" borderId="32" xfId="0" applyFont="1" applyBorder="1"/>
    <xf numFmtId="0" fontId="1" fillId="0" borderId="33" xfId="0" applyFont="1" applyBorder="1"/>
    <xf numFmtId="0" fontId="0" fillId="0" borderId="11" xfId="0" applyBorder="1"/>
    <xf numFmtId="0" fontId="0" fillId="0" borderId="17" xfId="0" applyBorder="1"/>
    <xf numFmtId="0" fontId="1" fillId="0" borderId="15" xfId="0" applyFont="1" applyBorder="1"/>
    <xf numFmtId="0" fontId="0" fillId="0" borderId="2" xfId="0" applyBorder="1"/>
    <xf numFmtId="0" fontId="0" fillId="0" borderId="34" xfId="0" applyBorder="1"/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1" xfId="0" applyFont="1" applyBorder="1"/>
    <xf numFmtId="0" fontId="6" fillId="0" borderId="26" xfId="0" applyFont="1" applyBorder="1"/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5" xfId="0" applyFont="1" applyBorder="1" applyAlignment="1">
      <alignment horizontal="center" vertical="top"/>
    </xf>
    <xf numFmtId="0" fontId="0" fillId="0" borderId="11" xfId="0" applyBorder="1" applyAlignment="1">
      <alignment horizontal="center"/>
    </xf>
    <xf numFmtId="0" fontId="0" fillId="0" borderId="21" xfId="0" applyFill="1" applyBorder="1"/>
    <xf numFmtId="0" fontId="0" fillId="0" borderId="14" xfId="0" applyBorder="1"/>
    <xf numFmtId="0" fontId="0" fillId="0" borderId="27" xfId="0" applyBorder="1"/>
    <xf numFmtId="0" fontId="5" fillId="0" borderId="26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1" fillId="0" borderId="31" xfId="0" applyNumberFormat="1" applyFont="1" applyBorder="1"/>
    <xf numFmtId="164" fontId="0" fillId="0" borderId="0" xfId="0" applyNumberFormat="1"/>
    <xf numFmtId="165" fontId="5" fillId="0" borderId="12" xfId="0" applyNumberFormat="1" applyFont="1" applyBorder="1" applyAlignment="1">
      <alignment horizontal="center"/>
    </xf>
    <xf numFmtId="165" fontId="5" fillId="0" borderId="19" xfId="0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20" fontId="0" fillId="0" borderId="0" xfId="0" applyNumberFormat="1"/>
    <xf numFmtId="0" fontId="8" fillId="0" borderId="6" xfId="0" applyFont="1" applyBorder="1"/>
    <xf numFmtId="0" fontId="8" fillId="0" borderId="30" xfId="0" applyFont="1" applyBorder="1"/>
    <xf numFmtId="0" fontId="8" fillId="0" borderId="33" xfId="0" applyFont="1" applyBorder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40" xfId="0" applyBorder="1"/>
    <xf numFmtId="0" fontId="0" fillId="0" borderId="38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Border="1"/>
    <xf numFmtId="0" fontId="0" fillId="0" borderId="19" xfId="0" applyBorder="1"/>
    <xf numFmtId="0" fontId="4" fillId="0" borderId="47" xfId="0" applyFont="1" applyBorder="1"/>
    <xf numFmtId="0" fontId="0" fillId="0" borderId="47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3" borderId="44" xfId="0" applyFill="1" applyBorder="1" applyAlignment="1">
      <alignment horizontal="center" vertical="center"/>
    </xf>
    <xf numFmtId="165" fontId="0" fillId="3" borderId="42" xfId="0" applyNumberFormat="1" applyFill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165" fontId="10" fillId="0" borderId="40" xfId="0" applyNumberFormat="1" applyFont="1" applyBorder="1"/>
    <xf numFmtId="165" fontId="10" fillId="0" borderId="26" xfId="0" applyNumberFormat="1" applyFont="1" applyBorder="1"/>
    <xf numFmtId="0" fontId="4" fillId="0" borderId="15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top"/>
    </xf>
    <xf numFmtId="0" fontId="2" fillId="0" borderId="25" xfId="0" applyFont="1" applyBorder="1" applyAlignment="1">
      <alignment horizontal="center" vertical="top"/>
    </xf>
    <xf numFmtId="0" fontId="2" fillId="0" borderId="35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36" xfId="0" applyFont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22" xfId="0" applyFont="1" applyBorder="1" applyAlignment="1">
      <alignment horizontal="center" vertical="top"/>
    </xf>
    <xf numFmtId="0" fontId="2" fillId="0" borderId="28" xfId="0" applyFont="1" applyBorder="1" applyAlignment="1">
      <alignment horizontal="center" vertical="top"/>
    </xf>
    <xf numFmtId="0" fontId="2" fillId="2" borderId="10" xfId="0" applyFont="1" applyFill="1" applyBorder="1" applyAlignment="1">
      <alignment horizontal="center" vertical="top"/>
    </xf>
    <xf numFmtId="0" fontId="2" fillId="2" borderId="0" xfId="0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0" fontId="2" fillId="2" borderId="20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2" borderId="25" xfId="0" applyFont="1" applyFill="1" applyBorder="1" applyAlignment="1">
      <alignment horizontal="center" vertical="top"/>
    </xf>
    <xf numFmtId="0" fontId="2" fillId="0" borderId="36" xfId="0" applyFont="1" applyBorder="1" applyAlignment="1">
      <alignment horizontal="center" vertical="top"/>
    </xf>
    <xf numFmtId="0" fontId="2" fillId="0" borderId="13" xfId="0" applyFont="1" applyBorder="1" applyAlignment="1">
      <alignment horizontal="center" vertical="top"/>
    </xf>
    <xf numFmtId="0" fontId="2" fillId="0" borderId="23" xfId="0" applyFont="1" applyBorder="1" applyAlignment="1">
      <alignment horizontal="center" vertical="top"/>
    </xf>
    <xf numFmtId="0" fontId="2" fillId="0" borderId="1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9" fillId="4" borderId="38" xfId="0" applyFont="1" applyFill="1" applyBorder="1" applyAlignment="1">
      <alignment horizontal="left" vertical="center"/>
    </xf>
    <xf numFmtId="0" fontId="9" fillId="4" borderId="41" xfId="0" applyFont="1" applyFill="1" applyBorder="1" applyAlignment="1">
      <alignment horizontal="left" vertical="center"/>
    </xf>
    <xf numFmtId="0" fontId="9" fillId="4" borderId="42" xfId="0" applyFont="1" applyFill="1" applyBorder="1" applyAlignment="1">
      <alignment horizontal="left" vertical="center"/>
    </xf>
    <xf numFmtId="0" fontId="4" fillId="0" borderId="38" xfId="0" applyFont="1" applyBorder="1" applyAlignment="1">
      <alignment horizontal="left"/>
    </xf>
    <xf numFmtId="0" fontId="4" fillId="0" borderId="41" xfId="0" applyFont="1" applyBorder="1" applyAlignment="1">
      <alignment horizontal="left"/>
    </xf>
    <xf numFmtId="0" fontId="4" fillId="0" borderId="42" xfId="0" applyFont="1" applyBorder="1" applyAlignment="1">
      <alignment horizontal="left"/>
    </xf>
    <xf numFmtId="0" fontId="4" fillId="0" borderId="45" xfId="0" applyFont="1" applyBorder="1" applyAlignment="1">
      <alignment horizontal="center"/>
    </xf>
    <xf numFmtId="0" fontId="4" fillId="0" borderId="46" xfId="0" applyFont="1" applyBorder="1" applyAlignment="1">
      <alignment horizontal="center"/>
    </xf>
    <xf numFmtId="0" fontId="4" fillId="3" borderId="38" xfId="0" applyFont="1" applyFill="1" applyBorder="1" applyAlignment="1">
      <alignment horizontal="center" vertical="center"/>
    </xf>
    <xf numFmtId="0" fontId="4" fillId="3" borderId="42" xfId="0" applyFont="1" applyFill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44" fontId="0" fillId="0" borderId="34" xfId="3" applyFont="1" applyBorder="1"/>
  </cellXfs>
  <cellStyles count="4">
    <cellStyle name="Monétaire" xfId="3" builtinId="4"/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33618</xdr:colOff>
      <xdr:row>0</xdr:row>
      <xdr:rowOff>83324</xdr:rowOff>
    </xdr:from>
    <xdr:to>
      <xdr:col>9</xdr:col>
      <xdr:colOff>752316</xdr:colOff>
      <xdr:row>0</xdr:row>
      <xdr:rowOff>419420</xdr:rowOff>
    </xdr:to>
    <xdr:sp macro="[0]!CreationPassage" textlink="">
      <xdr:nvSpPr>
        <xdr:cNvPr id="2" name="Rectangle 1"/>
        <xdr:cNvSpPr/>
      </xdr:nvSpPr>
      <xdr:spPr>
        <a:xfrm>
          <a:off x="9323294" y="83324"/>
          <a:ext cx="1693610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93"/>
  <sheetViews>
    <sheetView topLeftCell="A73" workbookViewId="0">
      <selection activeCell="F2" sqref="F2"/>
    </sheetView>
  </sheetViews>
  <sheetFormatPr baseColWidth="10" defaultRowHeight="15" x14ac:dyDescent="0.25"/>
  <cols>
    <col min="1" max="16384" width="11.42578125" style="1"/>
  </cols>
  <sheetData>
    <row r="1" spans="1:12" x14ac:dyDescent="0.25">
      <c r="A1" s="1" t="s">
        <v>4</v>
      </c>
      <c r="B1" s="1" t="s">
        <v>41</v>
      </c>
      <c r="C1" s="1" t="s">
        <v>153</v>
      </c>
      <c r="D1" s="1" t="s">
        <v>33</v>
      </c>
      <c r="E1" s="1" t="s">
        <v>34</v>
      </c>
      <c r="F1" s="1" t="s">
        <v>35</v>
      </c>
      <c r="G1" s="1" t="s">
        <v>36</v>
      </c>
      <c r="H1" s="1" t="s">
        <v>37</v>
      </c>
      <c r="I1" s="1" t="s">
        <v>38</v>
      </c>
      <c r="J1" s="1" t="s">
        <v>39</v>
      </c>
      <c r="K1" s="1" t="s">
        <v>40</v>
      </c>
      <c r="L1" s="1" t="s">
        <v>42</v>
      </c>
    </row>
    <row r="2" spans="1:12" x14ac:dyDescent="0.25">
      <c r="A2" s="1" t="s">
        <v>154</v>
      </c>
      <c r="B2" s="1">
        <v>1</v>
      </c>
      <c r="C2" s="1">
        <v>1</v>
      </c>
      <c r="D2" s="1">
        <v>13</v>
      </c>
      <c r="E2" s="1" t="s">
        <v>87</v>
      </c>
      <c r="F2" s="1" t="s">
        <v>88</v>
      </c>
      <c r="G2" s="1" t="s">
        <v>43</v>
      </c>
      <c r="H2" s="1" t="s">
        <v>72</v>
      </c>
      <c r="I2" s="1">
        <v>210</v>
      </c>
      <c r="J2" s="1">
        <v>150</v>
      </c>
      <c r="K2" s="1">
        <v>270</v>
      </c>
      <c r="L2" s="53">
        <v>0.42708333333333331</v>
      </c>
    </row>
    <row r="3" spans="1:12" x14ac:dyDescent="0.25">
      <c r="A3" s="1" t="s">
        <v>154</v>
      </c>
      <c r="B3" s="1">
        <v>1</v>
      </c>
      <c r="C3" s="1">
        <v>2</v>
      </c>
      <c r="D3" s="1">
        <v>34</v>
      </c>
      <c r="E3" s="1" t="s">
        <v>85</v>
      </c>
      <c r="F3" s="1" t="s">
        <v>86</v>
      </c>
      <c r="G3" s="1" t="s">
        <v>43</v>
      </c>
      <c r="H3" s="1" t="s">
        <v>64</v>
      </c>
      <c r="I3" s="1">
        <v>215</v>
      </c>
      <c r="J3" s="1">
        <v>155</v>
      </c>
      <c r="K3" s="1">
        <v>275</v>
      </c>
      <c r="L3" s="53">
        <v>0.42708333333333331</v>
      </c>
    </row>
    <row r="4" spans="1:12" x14ac:dyDescent="0.25">
      <c r="A4" s="1" t="s">
        <v>154</v>
      </c>
      <c r="B4" s="1">
        <v>1</v>
      </c>
      <c r="C4" s="1">
        <v>3</v>
      </c>
      <c r="D4" s="1">
        <v>27</v>
      </c>
      <c r="E4" s="1" t="s">
        <v>83</v>
      </c>
      <c r="F4" s="1" t="s">
        <v>84</v>
      </c>
      <c r="G4" s="1" t="s">
        <v>43</v>
      </c>
      <c r="H4" s="1" t="s">
        <v>69</v>
      </c>
      <c r="I4" s="1">
        <v>230</v>
      </c>
      <c r="J4" s="1">
        <v>170</v>
      </c>
      <c r="K4" s="1">
        <v>290</v>
      </c>
      <c r="L4" s="53">
        <v>0.42708333333333331</v>
      </c>
    </row>
    <row r="5" spans="1:12" x14ac:dyDescent="0.25">
      <c r="A5" s="1" t="s">
        <v>154</v>
      </c>
      <c r="B5" s="1">
        <v>1</v>
      </c>
      <c r="C5" s="1">
        <v>4</v>
      </c>
      <c r="D5" s="1">
        <v>41</v>
      </c>
      <c r="E5" s="1" t="s">
        <v>80</v>
      </c>
      <c r="F5" s="1" t="s">
        <v>81</v>
      </c>
      <c r="G5" s="1" t="s">
        <v>43</v>
      </c>
      <c r="H5" s="1" t="s">
        <v>82</v>
      </c>
      <c r="I5" s="1">
        <v>240</v>
      </c>
      <c r="J5" s="1">
        <v>180</v>
      </c>
      <c r="K5" s="1">
        <v>300</v>
      </c>
      <c r="L5" s="53">
        <v>0.42708333333333331</v>
      </c>
    </row>
    <row r="6" spans="1:12" x14ac:dyDescent="0.25">
      <c r="A6" s="1" t="s">
        <v>154</v>
      </c>
      <c r="B6" s="1">
        <v>2</v>
      </c>
      <c r="C6" s="1">
        <v>1</v>
      </c>
      <c r="D6" s="1">
        <v>25</v>
      </c>
      <c r="E6" s="1" t="s">
        <v>78</v>
      </c>
      <c r="F6" s="1" t="s">
        <v>79</v>
      </c>
      <c r="G6" s="1" t="s">
        <v>49</v>
      </c>
      <c r="H6" s="1" t="s">
        <v>77</v>
      </c>
      <c r="I6" s="1">
        <v>250</v>
      </c>
      <c r="J6" s="1">
        <v>190</v>
      </c>
      <c r="K6" s="1">
        <v>310</v>
      </c>
      <c r="L6" s="53">
        <v>0.43541666666666662</v>
      </c>
    </row>
    <row r="7" spans="1:12" x14ac:dyDescent="0.25">
      <c r="A7" s="1" t="s">
        <v>154</v>
      </c>
      <c r="B7" s="1">
        <v>2</v>
      </c>
      <c r="C7" s="1">
        <v>2</v>
      </c>
      <c r="D7" s="1">
        <v>22</v>
      </c>
      <c r="E7" s="1" t="s">
        <v>75</v>
      </c>
      <c r="F7" s="1" t="s">
        <v>76</v>
      </c>
      <c r="G7" s="1" t="s">
        <v>43</v>
      </c>
      <c r="H7" s="1" t="s">
        <v>77</v>
      </c>
      <c r="I7" s="1">
        <v>265</v>
      </c>
      <c r="J7" s="1">
        <v>205</v>
      </c>
      <c r="K7" s="1">
        <v>325</v>
      </c>
      <c r="L7" s="53">
        <v>0.43541666666666662</v>
      </c>
    </row>
    <row r="8" spans="1:12" x14ac:dyDescent="0.25">
      <c r="A8" s="1" t="s">
        <v>154</v>
      </c>
      <c r="B8" s="1">
        <v>2</v>
      </c>
      <c r="C8" s="1">
        <v>3</v>
      </c>
      <c r="D8" s="1">
        <v>10</v>
      </c>
      <c r="E8" s="1" t="s">
        <v>73</v>
      </c>
      <c r="F8" s="1" t="s">
        <v>74</v>
      </c>
      <c r="G8" s="1" t="s">
        <v>43</v>
      </c>
      <c r="H8" s="1" t="s">
        <v>59</v>
      </c>
      <c r="I8" s="1">
        <v>270</v>
      </c>
      <c r="J8" s="1">
        <v>210</v>
      </c>
      <c r="K8" s="1">
        <v>330</v>
      </c>
      <c r="L8" s="53">
        <v>0.43541666666666662</v>
      </c>
    </row>
    <row r="9" spans="1:12" x14ac:dyDescent="0.25">
      <c r="A9" s="1" t="s">
        <v>154</v>
      </c>
      <c r="B9" s="1">
        <v>2</v>
      </c>
      <c r="C9" s="1">
        <v>4</v>
      </c>
      <c r="D9" s="1">
        <v>15</v>
      </c>
      <c r="E9" s="1" t="s">
        <v>70</v>
      </c>
      <c r="F9" s="1" t="s">
        <v>71</v>
      </c>
      <c r="G9" s="1" t="s">
        <v>49</v>
      </c>
      <c r="H9" s="1" t="s">
        <v>72</v>
      </c>
      <c r="I9" s="1">
        <v>270</v>
      </c>
      <c r="J9" s="1">
        <v>210</v>
      </c>
      <c r="K9" s="1">
        <v>330</v>
      </c>
      <c r="L9" s="53">
        <v>0.43541666666666662</v>
      </c>
    </row>
    <row r="10" spans="1:12" x14ac:dyDescent="0.25">
      <c r="A10" s="1" t="s">
        <v>154</v>
      </c>
      <c r="B10" s="1">
        <v>3</v>
      </c>
      <c r="C10" s="1">
        <v>1</v>
      </c>
      <c r="D10" s="1">
        <v>29</v>
      </c>
      <c r="E10" s="1" t="s">
        <v>67</v>
      </c>
      <c r="F10" s="1" t="s">
        <v>68</v>
      </c>
      <c r="G10" s="1" t="s">
        <v>43</v>
      </c>
      <c r="H10" s="1" t="s">
        <v>69</v>
      </c>
      <c r="I10" s="1">
        <v>270</v>
      </c>
      <c r="J10" s="1">
        <v>210</v>
      </c>
      <c r="K10" s="1">
        <v>330</v>
      </c>
      <c r="L10" s="53">
        <v>0.44375000000000003</v>
      </c>
    </row>
    <row r="11" spans="1:12" x14ac:dyDescent="0.25">
      <c r="A11" s="1" t="s">
        <v>154</v>
      </c>
      <c r="B11" s="1">
        <v>3</v>
      </c>
      <c r="C11" s="1">
        <v>2</v>
      </c>
      <c r="D11" s="1">
        <v>46</v>
      </c>
      <c r="E11" s="1" t="s">
        <v>65</v>
      </c>
      <c r="F11" s="1" t="s">
        <v>66</v>
      </c>
      <c r="G11" s="1" t="s">
        <v>49</v>
      </c>
      <c r="H11" s="1" t="s">
        <v>44</v>
      </c>
      <c r="I11" s="1">
        <v>285</v>
      </c>
      <c r="J11" s="1">
        <v>225</v>
      </c>
      <c r="K11" s="1">
        <v>345</v>
      </c>
      <c r="L11" s="53">
        <v>0.44375000000000003</v>
      </c>
    </row>
    <row r="12" spans="1:12" x14ac:dyDescent="0.25">
      <c r="A12" s="1" t="s">
        <v>154</v>
      </c>
      <c r="B12" s="1">
        <v>3</v>
      </c>
      <c r="C12" s="1">
        <v>3</v>
      </c>
      <c r="D12" s="1">
        <v>19</v>
      </c>
      <c r="E12" s="1" t="s">
        <v>60</v>
      </c>
      <c r="F12" s="1" t="s">
        <v>61</v>
      </c>
      <c r="G12" s="1" t="s">
        <v>43</v>
      </c>
      <c r="H12" s="1" t="s">
        <v>54</v>
      </c>
      <c r="I12" s="1">
        <v>300</v>
      </c>
      <c r="J12" s="1">
        <v>240</v>
      </c>
      <c r="K12" s="1">
        <v>360</v>
      </c>
      <c r="L12" s="53">
        <v>0.44375000000000003</v>
      </c>
    </row>
    <row r="13" spans="1:12" x14ac:dyDescent="0.25">
      <c r="A13" s="1" t="s">
        <v>154</v>
      </c>
      <c r="B13" s="1">
        <v>3</v>
      </c>
      <c r="C13" s="1">
        <v>4</v>
      </c>
      <c r="D13" s="1">
        <v>31</v>
      </c>
      <c r="E13" s="1" t="s">
        <v>62</v>
      </c>
      <c r="F13" s="1" t="s">
        <v>63</v>
      </c>
      <c r="G13" s="1" t="s">
        <v>43</v>
      </c>
      <c r="H13" s="1" t="s">
        <v>64</v>
      </c>
      <c r="I13" s="1">
        <v>300</v>
      </c>
      <c r="J13" s="1">
        <v>240</v>
      </c>
      <c r="K13" s="1">
        <v>360</v>
      </c>
      <c r="L13" s="53">
        <v>0.44375000000000003</v>
      </c>
    </row>
    <row r="14" spans="1:12" x14ac:dyDescent="0.25">
      <c r="A14" s="1" t="s">
        <v>154</v>
      </c>
      <c r="B14" s="1">
        <v>4</v>
      </c>
      <c r="C14" s="1">
        <v>1</v>
      </c>
      <c r="D14" s="1">
        <v>7</v>
      </c>
      <c r="E14" s="1" t="s">
        <v>57</v>
      </c>
      <c r="F14" s="1" t="s">
        <v>58</v>
      </c>
      <c r="G14" s="1" t="s">
        <v>49</v>
      </c>
      <c r="H14" s="1" t="s">
        <v>59</v>
      </c>
      <c r="I14" s="1">
        <v>300</v>
      </c>
      <c r="J14" s="1">
        <v>240</v>
      </c>
      <c r="K14" s="1">
        <v>360</v>
      </c>
      <c r="L14" s="53">
        <v>0.45208333333333334</v>
      </c>
    </row>
    <row r="15" spans="1:12" x14ac:dyDescent="0.25">
      <c r="A15" s="1" t="s">
        <v>154</v>
      </c>
      <c r="B15" s="1">
        <v>4</v>
      </c>
      <c r="C15" s="1">
        <v>2</v>
      </c>
      <c r="D15" s="1">
        <v>38</v>
      </c>
      <c r="E15" s="1" t="s">
        <v>55</v>
      </c>
      <c r="F15" s="1" t="s">
        <v>56</v>
      </c>
      <c r="G15" s="1" t="s">
        <v>43</v>
      </c>
      <c r="H15" s="1" t="s">
        <v>51</v>
      </c>
      <c r="I15" s="1">
        <v>330</v>
      </c>
      <c r="J15" s="1">
        <v>270</v>
      </c>
      <c r="K15" s="1">
        <v>390</v>
      </c>
      <c r="L15" s="53">
        <v>0.45208333333333334</v>
      </c>
    </row>
    <row r="16" spans="1:12" x14ac:dyDescent="0.25">
      <c r="A16" s="1" t="s">
        <v>154</v>
      </c>
      <c r="B16" s="1">
        <v>4</v>
      </c>
      <c r="C16" s="1">
        <v>3</v>
      </c>
      <c r="D16" s="1">
        <v>20</v>
      </c>
      <c r="E16" s="1" t="s">
        <v>52</v>
      </c>
      <c r="F16" s="1" t="s">
        <v>53</v>
      </c>
      <c r="G16" s="1" t="s">
        <v>43</v>
      </c>
      <c r="H16" s="1" t="s">
        <v>54</v>
      </c>
      <c r="I16" s="1">
        <v>345</v>
      </c>
      <c r="J16" s="1">
        <v>285</v>
      </c>
      <c r="K16" s="1">
        <v>405</v>
      </c>
      <c r="L16" s="53">
        <v>0.45208333333333334</v>
      </c>
    </row>
    <row r="17" spans="1:12" x14ac:dyDescent="0.25">
      <c r="A17" s="1" t="s">
        <v>154</v>
      </c>
      <c r="B17" s="1">
        <v>4</v>
      </c>
      <c r="C17" s="1">
        <v>4</v>
      </c>
      <c r="D17" s="1">
        <v>37</v>
      </c>
      <c r="E17" s="1" t="s">
        <v>45</v>
      </c>
      <c r="F17" s="1" t="s">
        <v>50</v>
      </c>
      <c r="G17" s="1" t="s">
        <v>43</v>
      </c>
      <c r="H17" s="1" t="s">
        <v>51</v>
      </c>
      <c r="I17" s="1">
        <v>360</v>
      </c>
      <c r="J17" s="1">
        <v>300</v>
      </c>
      <c r="K17" s="1">
        <v>420</v>
      </c>
      <c r="L17" s="53">
        <v>0.45208333333333334</v>
      </c>
    </row>
    <row r="18" spans="1:12" x14ac:dyDescent="0.25">
      <c r="A18" s="1" t="s">
        <v>154</v>
      </c>
      <c r="B18" s="1">
        <v>5</v>
      </c>
      <c r="C18" s="1">
        <v>1</v>
      </c>
      <c r="D18" s="1">
        <v>4</v>
      </c>
      <c r="E18" s="1" t="s">
        <v>47</v>
      </c>
      <c r="F18" s="1" t="s">
        <v>48</v>
      </c>
      <c r="G18" s="1" t="s">
        <v>49</v>
      </c>
      <c r="H18" s="1" t="s">
        <v>46</v>
      </c>
      <c r="I18" s="1">
        <v>360</v>
      </c>
      <c r="J18" s="1">
        <v>300</v>
      </c>
      <c r="K18" s="1">
        <v>420</v>
      </c>
      <c r="L18" s="53">
        <v>0.4604166666666667</v>
      </c>
    </row>
    <row r="19" spans="1:12" x14ac:dyDescent="0.25">
      <c r="A19" s="1" t="s">
        <v>154</v>
      </c>
      <c r="B19" s="1">
        <v>5</v>
      </c>
      <c r="C19" s="1">
        <v>2</v>
      </c>
      <c r="D19" s="1">
        <v>1</v>
      </c>
      <c r="E19" s="1" t="s">
        <v>133</v>
      </c>
      <c r="F19" s="1" t="s">
        <v>134</v>
      </c>
      <c r="G19" s="1" t="s">
        <v>43</v>
      </c>
      <c r="H19" s="1" t="s">
        <v>46</v>
      </c>
      <c r="I19" s="1">
        <v>375</v>
      </c>
      <c r="J19" s="1">
        <v>315</v>
      </c>
      <c r="K19" s="1">
        <v>435</v>
      </c>
      <c r="L19" s="53">
        <v>0.4604166666666667</v>
      </c>
    </row>
    <row r="20" spans="1:12" x14ac:dyDescent="0.25">
      <c r="A20" s="1" t="s">
        <v>154</v>
      </c>
      <c r="B20" s="1">
        <v>5</v>
      </c>
      <c r="C20" s="1">
        <v>3</v>
      </c>
      <c r="D20" s="1">
        <v>42</v>
      </c>
      <c r="E20" s="1" t="s">
        <v>135</v>
      </c>
      <c r="F20" s="1" t="s">
        <v>136</v>
      </c>
      <c r="G20" s="1" t="s">
        <v>43</v>
      </c>
      <c r="H20" s="1" t="s">
        <v>44</v>
      </c>
      <c r="I20" s="1">
        <v>390</v>
      </c>
      <c r="J20" s="1">
        <v>330</v>
      </c>
      <c r="K20" s="1">
        <v>450</v>
      </c>
      <c r="L20" s="53">
        <v>0.4604166666666667</v>
      </c>
    </row>
    <row r="21" spans="1:12" x14ac:dyDescent="0.25">
      <c r="A21" s="1" t="s">
        <v>155</v>
      </c>
      <c r="B21" s="1">
        <v>1</v>
      </c>
      <c r="C21" s="1">
        <v>1</v>
      </c>
      <c r="D21" s="1">
        <v>30</v>
      </c>
      <c r="E21" s="1" t="s">
        <v>122</v>
      </c>
      <c r="F21" s="1" t="s">
        <v>123</v>
      </c>
      <c r="G21" s="1" t="s">
        <v>49</v>
      </c>
      <c r="H21" s="1" t="s">
        <v>69</v>
      </c>
      <c r="I21" s="1">
        <v>75</v>
      </c>
      <c r="J21" s="1">
        <v>50</v>
      </c>
      <c r="K21" s="1">
        <v>100</v>
      </c>
      <c r="L21" s="53">
        <v>0.47569444444444442</v>
      </c>
    </row>
    <row r="22" spans="1:12" x14ac:dyDescent="0.25">
      <c r="A22" s="1" t="s">
        <v>155</v>
      </c>
      <c r="B22" s="1">
        <v>1</v>
      </c>
      <c r="C22" s="1">
        <v>2</v>
      </c>
      <c r="D22" s="1">
        <v>26</v>
      </c>
      <c r="E22" s="1" t="s">
        <v>120</v>
      </c>
      <c r="F22" s="1" t="s">
        <v>121</v>
      </c>
      <c r="G22" s="1" t="s">
        <v>49</v>
      </c>
      <c r="H22" s="1" t="s">
        <v>69</v>
      </c>
      <c r="I22" s="1">
        <v>80</v>
      </c>
      <c r="J22" s="1">
        <v>55</v>
      </c>
      <c r="K22" s="1">
        <v>105</v>
      </c>
      <c r="L22" s="53">
        <v>0.47569444444444442</v>
      </c>
    </row>
    <row r="23" spans="1:12" x14ac:dyDescent="0.25">
      <c r="A23" s="1" t="s">
        <v>155</v>
      </c>
      <c r="B23" s="1">
        <v>2</v>
      </c>
      <c r="C23" s="1">
        <v>1</v>
      </c>
      <c r="D23" s="1">
        <v>33</v>
      </c>
      <c r="E23" s="1" t="s">
        <v>114</v>
      </c>
      <c r="F23" s="1" t="s">
        <v>115</v>
      </c>
      <c r="G23" s="1" t="s">
        <v>49</v>
      </c>
      <c r="H23" s="1" t="s">
        <v>64</v>
      </c>
      <c r="I23" s="1">
        <v>100</v>
      </c>
      <c r="J23" s="1">
        <v>75</v>
      </c>
      <c r="K23" s="1">
        <v>125</v>
      </c>
      <c r="L23" s="53">
        <v>0.48055555555555557</v>
      </c>
    </row>
    <row r="24" spans="1:12" x14ac:dyDescent="0.25">
      <c r="A24" s="1" t="s">
        <v>155</v>
      </c>
      <c r="B24" s="1">
        <v>2</v>
      </c>
      <c r="C24" s="1">
        <v>2</v>
      </c>
      <c r="D24" s="1">
        <v>5</v>
      </c>
      <c r="E24" s="1" t="s">
        <v>118</v>
      </c>
      <c r="F24" s="1" t="s">
        <v>119</v>
      </c>
      <c r="G24" s="1" t="s">
        <v>49</v>
      </c>
      <c r="H24" s="1" t="s">
        <v>46</v>
      </c>
      <c r="I24" s="1">
        <v>100</v>
      </c>
      <c r="J24" s="1">
        <v>75</v>
      </c>
      <c r="K24" s="1">
        <v>125</v>
      </c>
      <c r="L24" s="53">
        <v>0.48055555555555557</v>
      </c>
    </row>
    <row r="25" spans="1:12" x14ac:dyDescent="0.25">
      <c r="A25" s="1" t="s">
        <v>155</v>
      </c>
      <c r="B25" s="1">
        <v>3</v>
      </c>
      <c r="C25" s="1">
        <v>1</v>
      </c>
      <c r="D25" s="1">
        <v>6</v>
      </c>
      <c r="E25" s="1" t="s">
        <v>116</v>
      </c>
      <c r="F25" s="1" t="s">
        <v>117</v>
      </c>
      <c r="G25" s="1" t="s">
        <v>43</v>
      </c>
      <c r="H25" s="1" t="s">
        <v>59</v>
      </c>
      <c r="I25" s="1">
        <v>100</v>
      </c>
      <c r="J25" s="1">
        <v>75</v>
      </c>
      <c r="K25" s="1">
        <v>125</v>
      </c>
      <c r="L25" s="53">
        <v>0.48541666666666666</v>
      </c>
    </row>
    <row r="26" spans="1:12" x14ac:dyDescent="0.25">
      <c r="A26" s="1" t="s">
        <v>155</v>
      </c>
      <c r="B26" s="1">
        <v>3</v>
      </c>
      <c r="C26" s="1">
        <v>2</v>
      </c>
      <c r="D26" s="1">
        <v>8</v>
      </c>
      <c r="E26" s="1" t="s">
        <v>110</v>
      </c>
      <c r="F26" s="1" t="s">
        <v>111</v>
      </c>
      <c r="G26" s="1" t="s">
        <v>49</v>
      </c>
      <c r="H26" s="1" t="s">
        <v>59</v>
      </c>
      <c r="I26" s="1">
        <v>100</v>
      </c>
      <c r="J26" s="1">
        <v>75</v>
      </c>
      <c r="K26" s="1">
        <v>125</v>
      </c>
      <c r="L26" s="53">
        <v>0.48541666666666666</v>
      </c>
    </row>
    <row r="27" spans="1:12" x14ac:dyDescent="0.25">
      <c r="A27" s="1" t="s">
        <v>155</v>
      </c>
      <c r="B27" s="1">
        <v>4</v>
      </c>
      <c r="C27" s="1">
        <v>1</v>
      </c>
      <c r="D27" s="1">
        <v>24</v>
      </c>
      <c r="E27" s="1" t="s">
        <v>112</v>
      </c>
      <c r="F27" s="1" t="s">
        <v>113</v>
      </c>
      <c r="G27" s="1" t="s">
        <v>49</v>
      </c>
      <c r="H27" s="1" t="s">
        <v>77</v>
      </c>
      <c r="I27" s="1">
        <v>100</v>
      </c>
      <c r="J27" s="1">
        <v>75</v>
      </c>
      <c r="K27" s="1">
        <v>125</v>
      </c>
      <c r="L27" s="53">
        <v>0.49027777777777781</v>
      </c>
    </row>
    <row r="28" spans="1:12" x14ac:dyDescent="0.25">
      <c r="A28" s="1" t="s">
        <v>155</v>
      </c>
      <c r="B28" s="1">
        <v>4</v>
      </c>
      <c r="C28" s="1">
        <v>2</v>
      </c>
      <c r="D28" s="1">
        <v>43</v>
      </c>
      <c r="E28" s="1" t="s">
        <v>108</v>
      </c>
      <c r="F28" s="1" t="s">
        <v>109</v>
      </c>
      <c r="G28" s="1" t="s">
        <v>49</v>
      </c>
      <c r="H28" s="1" t="s">
        <v>44</v>
      </c>
      <c r="I28" s="1">
        <v>113</v>
      </c>
      <c r="J28" s="1">
        <v>88</v>
      </c>
      <c r="K28" s="1">
        <v>138</v>
      </c>
      <c r="L28" s="53">
        <v>0.49027777777777781</v>
      </c>
    </row>
    <row r="29" spans="1:12" x14ac:dyDescent="0.25">
      <c r="A29" s="1" t="s">
        <v>155</v>
      </c>
      <c r="B29" s="1">
        <v>5</v>
      </c>
      <c r="C29" s="1">
        <v>1</v>
      </c>
      <c r="D29" s="1">
        <v>16</v>
      </c>
      <c r="E29" s="1" t="s">
        <v>106</v>
      </c>
      <c r="F29" s="1" t="s">
        <v>107</v>
      </c>
      <c r="G29" s="1" t="s">
        <v>49</v>
      </c>
      <c r="H29" s="1" t="s">
        <v>54</v>
      </c>
      <c r="I29" s="1">
        <v>115</v>
      </c>
      <c r="J29" s="1">
        <v>90</v>
      </c>
      <c r="K29" s="1">
        <v>140</v>
      </c>
      <c r="L29" s="53">
        <v>0.49513888888888885</v>
      </c>
    </row>
    <row r="30" spans="1:12" x14ac:dyDescent="0.25">
      <c r="A30" s="1" t="s">
        <v>155</v>
      </c>
      <c r="B30" s="1">
        <v>5</v>
      </c>
      <c r="C30" s="1">
        <v>2</v>
      </c>
      <c r="D30" s="1">
        <v>35</v>
      </c>
      <c r="E30" s="1" t="s">
        <v>104</v>
      </c>
      <c r="F30" s="1" t="s">
        <v>105</v>
      </c>
      <c r="G30" s="1" t="s">
        <v>49</v>
      </c>
      <c r="H30" s="1" t="s">
        <v>64</v>
      </c>
      <c r="I30" s="1">
        <v>120</v>
      </c>
      <c r="J30" s="1">
        <v>95</v>
      </c>
      <c r="K30" s="1">
        <v>145</v>
      </c>
      <c r="L30" s="53">
        <v>0.49513888888888885</v>
      </c>
    </row>
    <row r="31" spans="1:12" x14ac:dyDescent="0.25">
      <c r="A31" s="1" t="s">
        <v>155</v>
      </c>
      <c r="B31" s="1">
        <v>6</v>
      </c>
      <c r="C31" s="1">
        <v>1</v>
      </c>
      <c r="D31" s="1">
        <v>17</v>
      </c>
      <c r="E31" s="1" t="s">
        <v>102</v>
      </c>
      <c r="F31" s="1" t="s">
        <v>103</v>
      </c>
      <c r="G31" s="1" t="s">
        <v>49</v>
      </c>
      <c r="H31" s="1" t="s">
        <v>54</v>
      </c>
      <c r="I31" s="1">
        <v>126</v>
      </c>
      <c r="J31" s="1">
        <v>101</v>
      </c>
      <c r="K31" s="1">
        <v>151</v>
      </c>
      <c r="L31" s="53">
        <v>0.5</v>
      </c>
    </row>
    <row r="32" spans="1:12" x14ac:dyDescent="0.25">
      <c r="A32" s="1" t="s">
        <v>155</v>
      </c>
      <c r="B32" s="1">
        <v>6</v>
      </c>
      <c r="C32" s="1">
        <v>2</v>
      </c>
      <c r="D32" s="1">
        <v>14</v>
      </c>
      <c r="E32" s="1" t="s">
        <v>98</v>
      </c>
      <c r="F32" s="1" t="s">
        <v>99</v>
      </c>
      <c r="G32" s="1" t="s">
        <v>49</v>
      </c>
      <c r="H32" s="1" t="s">
        <v>72</v>
      </c>
      <c r="I32" s="1">
        <v>140</v>
      </c>
      <c r="J32" s="1">
        <v>115</v>
      </c>
      <c r="K32" s="1">
        <v>165</v>
      </c>
      <c r="L32" s="53">
        <v>0.5</v>
      </c>
    </row>
    <row r="33" spans="1:12" x14ac:dyDescent="0.25">
      <c r="A33" s="1" t="s">
        <v>155</v>
      </c>
      <c r="B33" s="1">
        <v>7</v>
      </c>
      <c r="C33" s="1">
        <v>1</v>
      </c>
      <c r="D33" s="1">
        <v>44</v>
      </c>
      <c r="E33" s="1" t="s">
        <v>100</v>
      </c>
      <c r="F33" s="1" t="s">
        <v>101</v>
      </c>
      <c r="G33" s="1" t="s">
        <v>43</v>
      </c>
      <c r="H33" s="1" t="s">
        <v>44</v>
      </c>
      <c r="I33" s="1">
        <v>140</v>
      </c>
      <c r="J33" s="1">
        <v>115</v>
      </c>
      <c r="K33" s="1">
        <v>165</v>
      </c>
      <c r="L33" s="53">
        <v>0.50486111111111109</v>
      </c>
    </row>
    <row r="34" spans="1:12" x14ac:dyDescent="0.25">
      <c r="A34" s="1" t="s">
        <v>155</v>
      </c>
      <c r="B34" s="1">
        <v>7</v>
      </c>
      <c r="C34" s="1">
        <v>2</v>
      </c>
      <c r="D34" s="1">
        <v>39</v>
      </c>
      <c r="E34" s="1" t="s">
        <v>96</v>
      </c>
      <c r="F34" s="1" t="s">
        <v>97</v>
      </c>
      <c r="G34" s="1" t="s">
        <v>49</v>
      </c>
      <c r="H34" s="1" t="s">
        <v>51</v>
      </c>
      <c r="I34" s="1">
        <v>150</v>
      </c>
      <c r="J34" s="1">
        <v>125</v>
      </c>
      <c r="K34" s="1">
        <v>175</v>
      </c>
      <c r="L34" s="53">
        <v>0.50486111111111109</v>
      </c>
    </row>
    <row r="35" spans="1:12" x14ac:dyDescent="0.25">
      <c r="A35" s="1" t="s">
        <v>155</v>
      </c>
      <c r="B35" s="1">
        <v>8</v>
      </c>
      <c r="C35" s="1">
        <v>1</v>
      </c>
      <c r="D35" s="1">
        <v>40</v>
      </c>
      <c r="E35" s="1" t="s">
        <v>94</v>
      </c>
      <c r="F35" s="1" t="s">
        <v>95</v>
      </c>
      <c r="G35" s="1" t="s">
        <v>49</v>
      </c>
      <c r="H35" s="1" t="s">
        <v>51</v>
      </c>
      <c r="I35" s="1">
        <v>150</v>
      </c>
      <c r="J35" s="1">
        <v>125</v>
      </c>
      <c r="K35" s="1">
        <v>175</v>
      </c>
      <c r="L35" s="53">
        <v>0.50972222222222219</v>
      </c>
    </row>
    <row r="36" spans="1:12" x14ac:dyDescent="0.25">
      <c r="A36" s="1" t="s">
        <v>155</v>
      </c>
      <c r="B36" s="1">
        <v>8</v>
      </c>
      <c r="C36" s="1">
        <v>2</v>
      </c>
      <c r="D36" s="1">
        <v>23</v>
      </c>
      <c r="E36" s="1" t="s">
        <v>62</v>
      </c>
      <c r="F36" s="1" t="s">
        <v>93</v>
      </c>
      <c r="G36" s="1" t="s">
        <v>43</v>
      </c>
      <c r="H36" s="1" t="s">
        <v>77</v>
      </c>
      <c r="I36" s="1">
        <v>175</v>
      </c>
      <c r="J36" s="1">
        <v>150</v>
      </c>
      <c r="K36" s="1">
        <v>200</v>
      </c>
      <c r="L36" s="53">
        <v>0.50972222222222219</v>
      </c>
    </row>
    <row r="37" spans="1:12" x14ac:dyDescent="0.25">
      <c r="A37" s="1" t="s">
        <v>155</v>
      </c>
      <c r="B37" s="1">
        <v>9</v>
      </c>
      <c r="C37" s="1">
        <v>1</v>
      </c>
      <c r="D37" s="1">
        <v>11</v>
      </c>
      <c r="E37" s="1" t="s">
        <v>91</v>
      </c>
      <c r="F37" s="1" t="s">
        <v>92</v>
      </c>
      <c r="G37" s="1" t="s">
        <v>43</v>
      </c>
      <c r="H37" s="1" t="s">
        <v>72</v>
      </c>
      <c r="I37" s="1">
        <v>200</v>
      </c>
      <c r="J37" s="1">
        <v>175</v>
      </c>
      <c r="K37" s="1">
        <v>225</v>
      </c>
      <c r="L37" s="53">
        <v>0.51458333333333328</v>
      </c>
    </row>
    <row r="38" spans="1:12" x14ac:dyDescent="0.25">
      <c r="A38" s="1" t="s">
        <v>155</v>
      </c>
      <c r="B38" s="1">
        <v>9</v>
      </c>
      <c r="C38" s="1">
        <v>2</v>
      </c>
      <c r="D38" s="1">
        <v>2</v>
      </c>
      <c r="E38" s="1" t="s">
        <v>89</v>
      </c>
      <c r="F38" s="1" t="s">
        <v>90</v>
      </c>
      <c r="G38" s="1" t="s">
        <v>43</v>
      </c>
      <c r="H38" s="1" t="s">
        <v>46</v>
      </c>
      <c r="I38" s="1">
        <v>200</v>
      </c>
      <c r="J38" s="1">
        <v>175</v>
      </c>
      <c r="K38" s="1">
        <v>225</v>
      </c>
      <c r="L38" s="53">
        <v>0.51458333333333328</v>
      </c>
    </row>
    <row r="39" spans="1:12" x14ac:dyDescent="0.25">
      <c r="A39" s="1" t="s">
        <v>156</v>
      </c>
      <c r="B39" s="1">
        <v>1</v>
      </c>
      <c r="C39" s="1">
        <v>1</v>
      </c>
      <c r="D39" s="1">
        <v>18</v>
      </c>
      <c r="E39" s="1" t="s">
        <v>140</v>
      </c>
      <c r="F39" s="1" t="s">
        <v>141</v>
      </c>
      <c r="G39" s="1" t="s">
        <v>43</v>
      </c>
      <c r="H39" s="1" t="s">
        <v>54</v>
      </c>
      <c r="I39" s="1">
        <v>45</v>
      </c>
      <c r="J39" s="1">
        <v>35</v>
      </c>
      <c r="K39" s="1">
        <v>65</v>
      </c>
      <c r="L39" s="53">
        <v>0.52638888888888891</v>
      </c>
    </row>
    <row r="40" spans="1:12" x14ac:dyDescent="0.25">
      <c r="A40" s="1" t="s">
        <v>156</v>
      </c>
      <c r="B40" s="1">
        <v>1</v>
      </c>
      <c r="C40" s="1">
        <v>2</v>
      </c>
      <c r="D40" s="1">
        <v>22</v>
      </c>
      <c r="E40" s="1" t="s">
        <v>75</v>
      </c>
      <c r="F40" s="1" t="s">
        <v>76</v>
      </c>
      <c r="G40" s="1" t="s">
        <v>43</v>
      </c>
      <c r="H40" s="1" t="s">
        <v>77</v>
      </c>
      <c r="I40" s="1">
        <v>45</v>
      </c>
      <c r="J40" s="1">
        <v>35</v>
      </c>
      <c r="K40" s="1">
        <v>65</v>
      </c>
      <c r="L40" s="53">
        <v>0.52638888888888891</v>
      </c>
    </row>
    <row r="41" spans="1:12" x14ac:dyDescent="0.25">
      <c r="A41" s="1" t="s">
        <v>156</v>
      </c>
      <c r="B41" s="1">
        <v>1</v>
      </c>
      <c r="C41" s="1">
        <v>3</v>
      </c>
      <c r="D41" s="1">
        <v>3</v>
      </c>
      <c r="E41" s="1" t="s">
        <v>89</v>
      </c>
      <c r="F41" s="1" t="s">
        <v>139</v>
      </c>
      <c r="G41" s="1" t="s">
        <v>43</v>
      </c>
      <c r="H41" s="1" t="s">
        <v>46</v>
      </c>
      <c r="I41" s="1">
        <v>50</v>
      </c>
      <c r="J41" s="1">
        <v>40</v>
      </c>
      <c r="K41" s="1">
        <v>70</v>
      </c>
      <c r="L41" s="53">
        <v>0.52638888888888891</v>
      </c>
    </row>
    <row r="42" spans="1:12" x14ac:dyDescent="0.25">
      <c r="A42" s="1" t="s">
        <v>156</v>
      </c>
      <c r="B42" s="1">
        <v>1</v>
      </c>
      <c r="C42" s="1">
        <v>4</v>
      </c>
      <c r="D42" s="1">
        <v>42</v>
      </c>
      <c r="E42" s="1" t="s">
        <v>135</v>
      </c>
      <c r="F42" s="1" t="s">
        <v>136</v>
      </c>
      <c r="G42" s="1" t="s">
        <v>43</v>
      </c>
      <c r="H42" s="1" t="s">
        <v>44</v>
      </c>
      <c r="I42" s="1">
        <v>50</v>
      </c>
      <c r="J42" s="1">
        <v>40</v>
      </c>
      <c r="K42" s="1">
        <v>70</v>
      </c>
      <c r="L42" s="53">
        <v>0.52638888888888891</v>
      </c>
    </row>
    <row r="43" spans="1:12" x14ac:dyDescent="0.25">
      <c r="A43" s="1" t="s">
        <v>156</v>
      </c>
      <c r="B43" s="1">
        <v>2</v>
      </c>
      <c r="C43" s="1">
        <v>1</v>
      </c>
      <c r="D43" s="1">
        <v>9</v>
      </c>
      <c r="E43" s="1" t="s">
        <v>137</v>
      </c>
      <c r="F43" s="1" t="s">
        <v>138</v>
      </c>
      <c r="G43" s="1" t="s">
        <v>43</v>
      </c>
      <c r="H43" s="1" t="s">
        <v>59</v>
      </c>
      <c r="I43" s="1">
        <v>50</v>
      </c>
      <c r="J43" s="1">
        <v>40</v>
      </c>
      <c r="K43" s="1">
        <v>70</v>
      </c>
      <c r="L43" s="53">
        <v>0.54236111111111118</v>
      </c>
    </row>
    <row r="44" spans="1:12" x14ac:dyDescent="0.25">
      <c r="A44" s="1" t="s">
        <v>156</v>
      </c>
      <c r="B44" s="1">
        <v>2</v>
      </c>
      <c r="C44" s="1">
        <v>2</v>
      </c>
      <c r="D44" s="1">
        <v>1</v>
      </c>
      <c r="E44" s="1" t="s">
        <v>133</v>
      </c>
      <c r="F44" s="1" t="s">
        <v>134</v>
      </c>
      <c r="G44" s="1" t="s">
        <v>43</v>
      </c>
      <c r="H44" s="1" t="s">
        <v>46</v>
      </c>
      <c r="I44" s="1">
        <v>50</v>
      </c>
      <c r="J44" s="1">
        <v>40</v>
      </c>
      <c r="K44" s="1">
        <v>70</v>
      </c>
      <c r="L44" s="53">
        <v>0.54236111111111118</v>
      </c>
    </row>
    <row r="45" spans="1:12" x14ac:dyDescent="0.25">
      <c r="A45" s="1" t="s">
        <v>156</v>
      </c>
      <c r="B45" s="1">
        <v>2</v>
      </c>
      <c r="C45" s="1">
        <v>3</v>
      </c>
      <c r="D45" s="1">
        <v>21</v>
      </c>
      <c r="E45" s="1" t="s">
        <v>75</v>
      </c>
      <c r="F45" s="1" t="s">
        <v>84</v>
      </c>
      <c r="G45" s="1" t="s">
        <v>43</v>
      </c>
      <c r="H45" s="1" t="s">
        <v>77</v>
      </c>
      <c r="I45" s="1">
        <v>55</v>
      </c>
      <c r="J45" s="1">
        <v>45</v>
      </c>
      <c r="K45" s="1">
        <v>75</v>
      </c>
      <c r="L45" s="53">
        <v>0.54236111111111118</v>
      </c>
    </row>
    <row r="46" spans="1:12" x14ac:dyDescent="0.25">
      <c r="A46" s="1" t="s">
        <v>156</v>
      </c>
      <c r="B46" s="1">
        <v>2</v>
      </c>
      <c r="C46" s="1">
        <v>4</v>
      </c>
      <c r="D46" s="1">
        <v>32</v>
      </c>
      <c r="E46" s="1" t="s">
        <v>85</v>
      </c>
      <c r="F46" s="1" t="s">
        <v>132</v>
      </c>
      <c r="G46" s="1" t="s">
        <v>43</v>
      </c>
      <c r="H46" s="1" t="s">
        <v>64</v>
      </c>
      <c r="I46" s="1">
        <v>60</v>
      </c>
      <c r="J46" s="1">
        <v>50</v>
      </c>
      <c r="K46" s="1">
        <v>80</v>
      </c>
      <c r="L46" s="53">
        <v>0.54236111111111118</v>
      </c>
    </row>
    <row r="47" spans="1:12" x14ac:dyDescent="0.25">
      <c r="A47" s="1" t="s">
        <v>156</v>
      </c>
      <c r="B47" s="1">
        <v>3</v>
      </c>
      <c r="C47" s="1">
        <v>1</v>
      </c>
      <c r="D47" s="1">
        <v>37</v>
      </c>
      <c r="E47" s="1" t="s">
        <v>45</v>
      </c>
      <c r="F47" s="1" t="s">
        <v>50</v>
      </c>
      <c r="G47" s="1" t="s">
        <v>43</v>
      </c>
      <c r="H47" s="1" t="s">
        <v>51</v>
      </c>
      <c r="I47" s="1">
        <v>60</v>
      </c>
      <c r="J47" s="1">
        <v>50</v>
      </c>
      <c r="K47" s="1">
        <v>80</v>
      </c>
      <c r="L47" s="53">
        <v>0.55833333333333335</v>
      </c>
    </row>
    <row r="48" spans="1:12" x14ac:dyDescent="0.25">
      <c r="A48" s="1" t="s">
        <v>156</v>
      </c>
      <c r="B48" s="1">
        <v>3</v>
      </c>
      <c r="C48" s="1">
        <v>2</v>
      </c>
      <c r="D48" s="1">
        <v>36</v>
      </c>
      <c r="E48" s="1" t="s">
        <v>130</v>
      </c>
      <c r="F48" s="1" t="s">
        <v>131</v>
      </c>
      <c r="G48" s="1" t="s">
        <v>43</v>
      </c>
      <c r="H48" s="1" t="s">
        <v>51</v>
      </c>
      <c r="I48" s="1">
        <v>60</v>
      </c>
      <c r="J48" s="1">
        <v>50</v>
      </c>
      <c r="K48" s="1">
        <v>80</v>
      </c>
      <c r="L48" s="53">
        <v>0.55833333333333335</v>
      </c>
    </row>
    <row r="49" spans="1:12" x14ac:dyDescent="0.25">
      <c r="A49" s="1" t="s">
        <v>156</v>
      </c>
      <c r="B49" s="1">
        <v>3</v>
      </c>
      <c r="C49" s="1">
        <v>3</v>
      </c>
      <c r="D49" s="1">
        <v>27</v>
      </c>
      <c r="E49" s="1" t="s">
        <v>83</v>
      </c>
      <c r="F49" s="1" t="s">
        <v>84</v>
      </c>
      <c r="G49" s="1" t="s">
        <v>43</v>
      </c>
      <c r="H49" s="1" t="s">
        <v>69</v>
      </c>
      <c r="I49" s="1">
        <v>60</v>
      </c>
      <c r="J49" s="1">
        <v>50</v>
      </c>
      <c r="K49" s="1">
        <v>80</v>
      </c>
      <c r="L49" s="53">
        <v>0.55833333333333335</v>
      </c>
    </row>
    <row r="50" spans="1:12" x14ac:dyDescent="0.25">
      <c r="A50" s="1" t="s">
        <v>156</v>
      </c>
      <c r="B50" s="1">
        <v>3</v>
      </c>
      <c r="C50" s="1">
        <v>4</v>
      </c>
      <c r="D50" s="1">
        <v>45</v>
      </c>
      <c r="E50" s="1" t="s">
        <v>128</v>
      </c>
      <c r="F50" s="1" t="s">
        <v>129</v>
      </c>
      <c r="G50" s="1" t="s">
        <v>43</v>
      </c>
      <c r="H50" s="1" t="s">
        <v>44</v>
      </c>
      <c r="I50" s="1">
        <v>65</v>
      </c>
      <c r="J50" s="1">
        <v>55</v>
      </c>
      <c r="K50" s="1">
        <v>85</v>
      </c>
      <c r="L50" s="53">
        <v>0.55833333333333335</v>
      </c>
    </row>
    <row r="51" spans="1:12" x14ac:dyDescent="0.25">
      <c r="A51" s="1" t="s">
        <v>156</v>
      </c>
      <c r="B51" s="1">
        <v>4</v>
      </c>
      <c r="C51" s="1">
        <v>1</v>
      </c>
      <c r="D51" s="1">
        <v>12</v>
      </c>
      <c r="E51" s="1" t="s">
        <v>126</v>
      </c>
      <c r="F51" s="1" t="s">
        <v>127</v>
      </c>
      <c r="G51" s="1" t="s">
        <v>43</v>
      </c>
      <c r="H51" s="1" t="s">
        <v>72</v>
      </c>
      <c r="I51" s="1">
        <v>70</v>
      </c>
      <c r="J51" s="1">
        <v>60</v>
      </c>
      <c r="K51" s="1">
        <v>90</v>
      </c>
      <c r="L51" s="53">
        <v>0.57430555555555551</v>
      </c>
    </row>
    <row r="52" spans="1:12" x14ac:dyDescent="0.25">
      <c r="A52" s="1" t="s">
        <v>156</v>
      </c>
      <c r="B52" s="1">
        <v>4</v>
      </c>
      <c r="C52" s="1">
        <v>2</v>
      </c>
      <c r="D52" s="1">
        <v>7</v>
      </c>
      <c r="E52" s="1" t="s">
        <v>57</v>
      </c>
      <c r="F52" s="1" t="s">
        <v>58</v>
      </c>
      <c r="G52" s="1" t="s">
        <v>49</v>
      </c>
      <c r="H52" s="1" t="s">
        <v>59</v>
      </c>
      <c r="I52" s="1">
        <v>70</v>
      </c>
      <c r="J52" s="1">
        <v>60</v>
      </c>
      <c r="K52" s="1">
        <v>90</v>
      </c>
      <c r="L52" s="53">
        <v>0.57430555555555551</v>
      </c>
    </row>
    <row r="53" spans="1:12" x14ac:dyDescent="0.25">
      <c r="A53" s="1" t="s">
        <v>156</v>
      </c>
      <c r="B53" s="1">
        <v>4</v>
      </c>
      <c r="C53" s="1">
        <v>3</v>
      </c>
      <c r="D53" s="1">
        <v>28</v>
      </c>
      <c r="E53" s="1" t="s">
        <v>124</v>
      </c>
      <c r="F53" s="1" t="s">
        <v>125</v>
      </c>
      <c r="G53" s="1" t="s">
        <v>43</v>
      </c>
      <c r="H53" s="1" t="s">
        <v>69</v>
      </c>
      <c r="I53" s="1">
        <v>75</v>
      </c>
      <c r="J53" s="1">
        <v>65</v>
      </c>
      <c r="K53" s="1">
        <v>95</v>
      </c>
      <c r="L53" s="53">
        <v>0.57430555555555551</v>
      </c>
    </row>
    <row r="54" spans="1:12" x14ac:dyDescent="0.25">
      <c r="A54" s="1" t="s">
        <v>156</v>
      </c>
      <c r="B54" s="1">
        <v>4</v>
      </c>
      <c r="C54" s="1">
        <v>4</v>
      </c>
      <c r="D54" s="1">
        <v>20</v>
      </c>
      <c r="E54" s="1" t="s">
        <v>52</v>
      </c>
      <c r="F54" s="1" t="s">
        <v>53</v>
      </c>
      <c r="G54" s="1" t="s">
        <v>43</v>
      </c>
      <c r="H54" s="1" t="s">
        <v>54</v>
      </c>
      <c r="I54" s="1">
        <v>75</v>
      </c>
      <c r="J54" s="1">
        <v>65</v>
      </c>
      <c r="K54" s="1">
        <v>95</v>
      </c>
      <c r="L54" s="53">
        <v>0.57430555555555551</v>
      </c>
    </row>
    <row r="55" spans="1:12" x14ac:dyDescent="0.25">
      <c r="A55" s="1" t="s">
        <v>156</v>
      </c>
      <c r="B55" s="1">
        <v>5</v>
      </c>
      <c r="C55" s="1">
        <v>1</v>
      </c>
      <c r="D55" s="1">
        <v>34</v>
      </c>
      <c r="E55" s="1" t="s">
        <v>85</v>
      </c>
      <c r="F55" s="1" t="s">
        <v>86</v>
      </c>
      <c r="G55" s="1" t="s">
        <v>43</v>
      </c>
      <c r="H55" s="1" t="s">
        <v>64</v>
      </c>
      <c r="I55" s="1">
        <v>85</v>
      </c>
      <c r="J55" s="1">
        <v>75</v>
      </c>
      <c r="K55" s="1">
        <v>105</v>
      </c>
      <c r="L55" s="53">
        <v>0.59027777777777779</v>
      </c>
    </row>
    <row r="56" spans="1:12" x14ac:dyDescent="0.25">
      <c r="A56" s="1" t="s">
        <v>156</v>
      </c>
      <c r="B56" s="1">
        <v>5</v>
      </c>
      <c r="C56" s="1">
        <v>2</v>
      </c>
      <c r="D56" s="1">
        <v>41</v>
      </c>
      <c r="E56" s="1" t="s">
        <v>80</v>
      </c>
      <c r="F56" s="1" t="s">
        <v>81</v>
      </c>
      <c r="G56" s="1" t="s">
        <v>43</v>
      </c>
      <c r="H56" s="1" t="s">
        <v>82</v>
      </c>
      <c r="I56" s="1">
        <v>100</v>
      </c>
      <c r="J56" s="1">
        <v>90</v>
      </c>
      <c r="K56" s="1">
        <v>120</v>
      </c>
      <c r="L56" s="53">
        <v>0.59027777777777779</v>
      </c>
    </row>
    <row r="57" spans="1:12" x14ac:dyDescent="0.25">
      <c r="A57" s="1" t="s">
        <v>156</v>
      </c>
      <c r="B57" s="1">
        <v>5</v>
      </c>
      <c r="C57" s="1">
        <v>3</v>
      </c>
      <c r="D57" s="1">
        <v>15</v>
      </c>
      <c r="E57" s="1" t="s">
        <v>70</v>
      </c>
      <c r="F57" s="1" t="s">
        <v>71</v>
      </c>
      <c r="G57" s="1" t="s">
        <v>49</v>
      </c>
      <c r="H57" s="1" t="s">
        <v>72</v>
      </c>
      <c r="I57" s="1">
        <v>120</v>
      </c>
      <c r="J57" s="1">
        <v>110</v>
      </c>
      <c r="K57" s="1">
        <v>140</v>
      </c>
      <c r="L57" s="53">
        <v>0.59027777777777779</v>
      </c>
    </row>
    <row r="58" spans="1:12" x14ac:dyDescent="0.25">
      <c r="A58" s="1" t="s">
        <v>157</v>
      </c>
      <c r="B58" s="1">
        <v>1</v>
      </c>
      <c r="C58" s="1">
        <v>1</v>
      </c>
      <c r="D58" s="1">
        <v>30</v>
      </c>
      <c r="E58" s="1" t="s">
        <v>122</v>
      </c>
      <c r="F58" s="1" t="s">
        <v>123</v>
      </c>
      <c r="G58" s="1" t="s">
        <v>49</v>
      </c>
      <c r="H58" s="1" t="s">
        <v>69</v>
      </c>
      <c r="I58" s="1">
        <v>50</v>
      </c>
      <c r="J58" s="1">
        <v>25</v>
      </c>
      <c r="K58" s="1">
        <v>75</v>
      </c>
      <c r="L58" s="53">
        <v>0.61319444444444449</v>
      </c>
    </row>
    <row r="59" spans="1:12" x14ac:dyDescent="0.25">
      <c r="A59" s="1" t="s">
        <v>157</v>
      </c>
      <c r="B59" s="1">
        <v>1</v>
      </c>
      <c r="C59" s="1">
        <v>2</v>
      </c>
      <c r="D59" s="1">
        <v>25</v>
      </c>
      <c r="E59" s="1" t="s">
        <v>78</v>
      </c>
      <c r="F59" s="1" t="s">
        <v>79</v>
      </c>
      <c r="G59" s="1" t="s">
        <v>49</v>
      </c>
      <c r="H59" s="1" t="s">
        <v>77</v>
      </c>
      <c r="I59" s="1">
        <v>53</v>
      </c>
      <c r="J59" s="1">
        <v>28</v>
      </c>
      <c r="K59" s="1">
        <v>78</v>
      </c>
      <c r="L59" s="53">
        <v>0.61319444444444449</v>
      </c>
    </row>
    <row r="60" spans="1:12" x14ac:dyDescent="0.25">
      <c r="A60" s="1" t="s">
        <v>157</v>
      </c>
      <c r="B60" s="1">
        <v>2</v>
      </c>
      <c r="C60" s="1">
        <v>1</v>
      </c>
      <c r="D60" s="1">
        <v>29</v>
      </c>
      <c r="E60" s="1" t="s">
        <v>67</v>
      </c>
      <c r="F60" s="1" t="s">
        <v>68</v>
      </c>
      <c r="G60" s="1" t="s">
        <v>43</v>
      </c>
      <c r="H60" s="1" t="s">
        <v>69</v>
      </c>
      <c r="I60" s="1">
        <v>65</v>
      </c>
      <c r="J60" s="1">
        <v>40</v>
      </c>
      <c r="K60" s="1">
        <v>90</v>
      </c>
      <c r="L60" s="53">
        <v>0.61944444444444446</v>
      </c>
    </row>
    <row r="61" spans="1:12" x14ac:dyDescent="0.25">
      <c r="A61" s="1" t="s">
        <v>157</v>
      </c>
      <c r="B61" s="1">
        <v>2</v>
      </c>
      <c r="C61" s="1">
        <v>2</v>
      </c>
      <c r="D61" s="1">
        <v>19</v>
      </c>
      <c r="E61" s="1" t="s">
        <v>60</v>
      </c>
      <c r="F61" s="1" t="s">
        <v>61</v>
      </c>
      <c r="G61" s="1" t="s">
        <v>43</v>
      </c>
      <c r="H61" s="1" t="s">
        <v>54</v>
      </c>
      <c r="I61" s="1">
        <v>70</v>
      </c>
      <c r="J61" s="1">
        <v>45</v>
      </c>
      <c r="K61" s="1">
        <v>95</v>
      </c>
      <c r="L61" s="53">
        <v>0.61944444444444446</v>
      </c>
    </row>
    <row r="62" spans="1:12" x14ac:dyDescent="0.25">
      <c r="A62" s="1" t="s">
        <v>157</v>
      </c>
      <c r="B62" s="1">
        <v>3</v>
      </c>
      <c r="C62" s="1">
        <v>1</v>
      </c>
      <c r="D62" s="1">
        <v>6</v>
      </c>
      <c r="E62" s="1" t="s">
        <v>116</v>
      </c>
      <c r="F62" s="1" t="s">
        <v>117</v>
      </c>
      <c r="G62" s="1" t="s">
        <v>43</v>
      </c>
      <c r="H62" s="1" t="s">
        <v>59</v>
      </c>
      <c r="I62" s="1">
        <v>75</v>
      </c>
      <c r="J62" s="1">
        <v>50</v>
      </c>
      <c r="K62" s="1">
        <v>100</v>
      </c>
      <c r="L62" s="53">
        <v>0.62569444444444444</v>
      </c>
    </row>
    <row r="63" spans="1:12" x14ac:dyDescent="0.25">
      <c r="A63" s="1" t="s">
        <v>157</v>
      </c>
      <c r="B63" s="1">
        <v>3</v>
      </c>
      <c r="C63" s="1">
        <v>2</v>
      </c>
      <c r="D63" s="1">
        <v>8</v>
      </c>
      <c r="E63" s="1" t="s">
        <v>110</v>
      </c>
      <c r="F63" s="1" t="s">
        <v>111</v>
      </c>
      <c r="G63" s="1" t="s">
        <v>49</v>
      </c>
      <c r="H63" s="1" t="s">
        <v>59</v>
      </c>
      <c r="I63" s="1">
        <v>75</v>
      </c>
      <c r="J63" s="1">
        <v>50</v>
      </c>
      <c r="K63" s="1">
        <v>100</v>
      </c>
      <c r="L63" s="53">
        <v>0.62569444444444444</v>
      </c>
    </row>
    <row r="64" spans="1:12" x14ac:dyDescent="0.25">
      <c r="A64" s="1" t="s">
        <v>157</v>
      </c>
      <c r="B64" s="1">
        <v>4</v>
      </c>
      <c r="C64" s="1">
        <v>1</v>
      </c>
      <c r="D64" s="1">
        <v>35</v>
      </c>
      <c r="E64" s="1" t="s">
        <v>104</v>
      </c>
      <c r="F64" s="1" t="s">
        <v>105</v>
      </c>
      <c r="G64" s="1" t="s">
        <v>49</v>
      </c>
      <c r="H64" s="1" t="s">
        <v>64</v>
      </c>
      <c r="I64" s="1">
        <v>90</v>
      </c>
      <c r="J64" s="1">
        <v>65</v>
      </c>
      <c r="K64" s="1">
        <v>115</v>
      </c>
      <c r="L64" s="53">
        <v>0.63194444444444442</v>
      </c>
    </row>
    <row r="65" spans="1:12" x14ac:dyDescent="0.25">
      <c r="A65" s="1" t="s">
        <v>157</v>
      </c>
      <c r="B65" s="1">
        <v>4</v>
      </c>
      <c r="C65" s="1">
        <v>2</v>
      </c>
      <c r="D65" s="1">
        <v>17</v>
      </c>
      <c r="E65" s="1" t="s">
        <v>102</v>
      </c>
      <c r="F65" s="1" t="s">
        <v>103</v>
      </c>
      <c r="G65" s="1" t="s">
        <v>49</v>
      </c>
      <c r="H65" s="1" t="s">
        <v>54</v>
      </c>
      <c r="I65" s="1">
        <v>92</v>
      </c>
      <c r="J65" s="1">
        <v>67</v>
      </c>
      <c r="K65" s="1">
        <v>117</v>
      </c>
      <c r="L65" s="53">
        <v>0.63194444444444442</v>
      </c>
    </row>
    <row r="66" spans="1:12" x14ac:dyDescent="0.25">
      <c r="A66" s="1" t="s">
        <v>157</v>
      </c>
      <c r="B66" s="1">
        <v>5</v>
      </c>
      <c r="C66" s="1">
        <v>1</v>
      </c>
      <c r="D66" s="1">
        <v>5</v>
      </c>
      <c r="E66" s="1" t="s">
        <v>118</v>
      </c>
      <c r="F66" s="1" t="s">
        <v>119</v>
      </c>
      <c r="G66" s="1" t="s">
        <v>49</v>
      </c>
      <c r="H66" s="1" t="s">
        <v>46</v>
      </c>
      <c r="I66" s="1">
        <v>95</v>
      </c>
      <c r="J66" s="1">
        <v>70</v>
      </c>
      <c r="K66" s="1">
        <v>120</v>
      </c>
      <c r="L66" s="53">
        <v>0.6381944444444444</v>
      </c>
    </row>
    <row r="67" spans="1:12" x14ac:dyDescent="0.25">
      <c r="A67" s="1" t="s">
        <v>157</v>
      </c>
      <c r="B67" s="1">
        <v>5</v>
      </c>
      <c r="C67" s="1">
        <v>2</v>
      </c>
      <c r="D67" s="1">
        <v>24</v>
      </c>
      <c r="E67" s="1" t="s">
        <v>112</v>
      </c>
      <c r="F67" s="1" t="s">
        <v>113</v>
      </c>
      <c r="G67" s="1" t="s">
        <v>49</v>
      </c>
      <c r="H67" s="1" t="s">
        <v>77</v>
      </c>
      <c r="I67" s="1">
        <v>100</v>
      </c>
      <c r="J67" s="1">
        <v>75</v>
      </c>
      <c r="K67" s="1">
        <v>125</v>
      </c>
      <c r="L67" s="53">
        <v>0.6381944444444444</v>
      </c>
    </row>
    <row r="68" spans="1:12" x14ac:dyDescent="0.25">
      <c r="A68" s="1" t="s">
        <v>157</v>
      </c>
      <c r="B68" s="1">
        <v>6</v>
      </c>
      <c r="C68" s="1">
        <v>1</v>
      </c>
      <c r="D68" s="1">
        <v>43</v>
      </c>
      <c r="E68" s="1" t="s">
        <v>108</v>
      </c>
      <c r="F68" s="1" t="s">
        <v>109</v>
      </c>
      <c r="G68" s="1" t="s">
        <v>49</v>
      </c>
      <c r="H68" s="1" t="s">
        <v>44</v>
      </c>
      <c r="I68" s="1">
        <v>100</v>
      </c>
      <c r="J68" s="1">
        <v>75</v>
      </c>
      <c r="K68" s="1">
        <v>125</v>
      </c>
      <c r="L68" s="53">
        <v>0.64444444444444449</v>
      </c>
    </row>
    <row r="69" spans="1:12" x14ac:dyDescent="0.25">
      <c r="A69" s="1" t="s">
        <v>157</v>
      </c>
      <c r="B69" s="1">
        <v>6</v>
      </c>
      <c r="C69" s="1">
        <v>2</v>
      </c>
      <c r="D69" s="1">
        <v>14</v>
      </c>
      <c r="E69" s="1" t="s">
        <v>98</v>
      </c>
      <c r="F69" s="1" t="s">
        <v>99</v>
      </c>
      <c r="G69" s="1" t="s">
        <v>49</v>
      </c>
      <c r="H69" s="1" t="s">
        <v>72</v>
      </c>
      <c r="I69" s="1">
        <v>100</v>
      </c>
      <c r="J69" s="1">
        <v>75</v>
      </c>
      <c r="K69" s="1">
        <v>125</v>
      </c>
      <c r="L69" s="53">
        <v>0.64444444444444449</v>
      </c>
    </row>
    <row r="70" spans="1:12" x14ac:dyDescent="0.25">
      <c r="A70" s="1" t="s">
        <v>157</v>
      </c>
      <c r="B70" s="1">
        <v>7</v>
      </c>
      <c r="C70" s="1">
        <v>1</v>
      </c>
      <c r="D70" s="1">
        <v>44</v>
      </c>
      <c r="E70" s="1" t="s">
        <v>100</v>
      </c>
      <c r="F70" s="1" t="s">
        <v>101</v>
      </c>
      <c r="G70" s="1" t="s">
        <v>43</v>
      </c>
      <c r="H70" s="1" t="s">
        <v>44</v>
      </c>
      <c r="I70" s="1">
        <v>100</v>
      </c>
      <c r="J70" s="1">
        <v>75</v>
      </c>
      <c r="K70" s="1">
        <v>125</v>
      </c>
      <c r="L70" s="53">
        <v>0.65069444444444446</v>
      </c>
    </row>
    <row r="71" spans="1:12" x14ac:dyDescent="0.25">
      <c r="A71" s="1" t="s">
        <v>157</v>
      </c>
      <c r="B71" s="1">
        <v>7</v>
      </c>
      <c r="C71" s="1">
        <v>2</v>
      </c>
      <c r="D71" s="1">
        <v>33</v>
      </c>
      <c r="E71" s="1" t="s">
        <v>114</v>
      </c>
      <c r="F71" s="1" t="s">
        <v>115</v>
      </c>
      <c r="G71" s="1" t="s">
        <v>49</v>
      </c>
      <c r="H71" s="1" t="s">
        <v>64</v>
      </c>
      <c r="I71" s="1">
        <v>103</v>
      </c>
      <c r="J71" s="1">
        <v>78</v>
      </c>
      <c r="K71" s="1">
        <v>128</v>
      </c>
      <c r="L71" s="53">
        <v>0.65069444444444446</v>
      </c>
    </row>
    <row r="72" spans="1:12" x14ac:dyDescent="0.25">
      <c r="A72" s="1" t="s">
        <v>157</v>
      </c>
      <c r="B72" s="1">
        <v>8</v>
      </c>
      <c r="C72" s="1">
        <v>1</v>
      </c>
      <c r="D72" s="1">
        <v>39</v>
      </c>
      <c r="E72" s="1" t="s">
        <v>96</v>
      </c>
      <c r="F72" s="1" t="s">
        <v>97</v>
      </c>
      <c r="G72" s="1" t="s">
        <v>49</v>
      </c>
      <c r="H72" s="1" t="s">
        <v>51</v>
      </c>
      <c r="I72" s="1">
        <v>110</v>
      </c>
      <c r="J72" s="1">
        <v>85</v>
      </c>
      <c r="K72" s="1">
        <v>135</v>
      </c>
      <c r="L72" s="53">
        <v>0.65694444444444444</v>
      </c>
    </row>
    <row r="73" spans="1:12" x14ac:dyDescent="0.25">
      <c r="A73" s="1" t="s">
        <v>157</v>
      </c>
      <c r="B73" s="1">
        <v>8</v>
      </c>
      <c r="C73" s="1">
        <v>2</v>
      </c>
      <c r="D73" s="1">
        <v>38</v>
      </c>
      <c r="E73" s="1" t="s">
        <v>55</v>
      </c>
      <c r="F73" s="1" t="s">
        <v>56</v>
      </c>
      <c r="G73" s="1" t="s">
        <v>43</v>
      </c>
      <c r="H73" s="1" t="s">
        <v>51</v>
      </c>
      <c r="I73" s="1">
        <v>125</v>
      </c>
      <c r="J73" s="1">
        <v>100</v>
      </c>
      <c r="K73" s="1">
        <v>150</v>
      </c>
      <c r="L73" s="53">
        <v>0.65694444444444444</v>
      </c>
    </row>
    <row r="74" spans="1:12" x14ac:dyDescent="0.25">
      <c r="A74" s="1" t="s">
        <v>157</v>
      </c>
      <c r="B74" s="1">
        <v>9</v>
      </c>
      <c r="C74" s="1">
        <v>1</v>
      </c>
      <c r="D74" s="1">
        <v>11</v>
      </c>
      <c r="E74" s="1" t="s">
        <v>91</v>
      </c>
      <c r="F74" s="1" t="s">
        <v>92</v>
      </c>
      <c r="G74" s="1" t="s">
        <v>43</v>
      </c>
      <c r="H74" s="1" t="s">
        <v>72</v>
      </c>
      <c r="I74" s="1">
        <v>150</v>
      </c>
      <c r="J74" s="1">
        <v>125</v>
      </c>
      <c r="K74" s="1">
        <v>175</v>
      </c>
      <c r="L74" s="53">
        <v>0.66319444444444442</v>
      </c>
    </row>
    <row r="75" spans="1:12" x14ac:dyDescent="0.25">
      <c r="A75" s="1" t="s">
        <v>157</v>
      </c>
      <c r="B75" s="1">
        <v>9</v>
      </c>
      <c r="C75" s="1">
        <v>2</v>
      </c>
      <c r="D75" s="1">
        <v>2</v>
      </c>
      <c r="E75" s="1" t="s">
        <v>89</v>
      </c>
      <c r="F75" s="1" t="s">
        <v>90</v>
      </c>
      <c r="G75" s="1" t="s">
        <v>43</v>
      </c>
      <c r="H75" s="1" t="s">
        <v>46</v>
      </c>
      <c r="I75" s="1">
        <v>160</v>
      </c>
      <c r="J75" s="1">
        <v>135</v>
      </c>
      <c r="K75" s="1">
        <v>185</v>
      </c>
      <c r="L75" s="53">
        <v>0.66319444444444442</v>
      </c>
    </row>
    <row r="76" spans="1:12" x14ac:dyDescent="0.25">
      <c r="A76" s="1">
        <v>1650</v>
      </c>
      <c r="B76" s="1">
        <v>1</v>
      </c>
      <c r="C76" s="1">
        <v>1</v>
      </c>
      <c r="D76" s="1">
        <v>18</v>
      </c>
      <c r="E76" s="1" t="s">
        <v>140</v>
      </c>
      <c r="F76" s="1" t="s">
        <v>141</v>
      </c>
      <c r="G76" s="1" t="s">
        <v>43</v>
      </c>
      <c r="H76" s="1" t="s">
        <v>54</v>
      </c>
      <c r="I76" s="1">
        <v>795</v>
      </c>
      <c r="J76" s="1">
        <v>765</v>
      </c>
      <c r="K76" s="1">
        <v>855</v>
      </c>
      <c r="L76" s="53">
        <v>0.67638888888888893</v>
      </c>
    </row>
    <row r="77" spans="1:12" x14ac:dyDescent="0.25">
      <c r="A77" s="1">
        <v>1650</v>
      </c>
      <c r="B77" s="1">
        <v>1</v>
      </c>
      <c r="C77" s="1">
        <v>2</v>
      </c>
      <c r="D77" s="1">
        <v>3</v>
      </c>
      <c r="E77" s="1" t="s">
        <v>89</v>
      </c>
      <c r="F77" s="1" t="s">
        <v>139</v>
      </c>
      <c r="G77" s="1" t="s">
        <v>43</v>
      </c>
      <c r="H77" s="1" t="s">
        <v>46</v>
      </c>
      <c r="I77" s="1">
        <v>890</v>
      </c>
      <c r="J77" s="1">
        <v>860</v>
      </c>
      <c r="K77" s="1">
        <v>950</v>
      </c>
      <c r="L77" s="53">
        <v>0.67638888888888893</v>
      </c>
    </row>
    <row r="78" spans="1:12" x14ac:dyDescent="0.25">
      <c r="A78" s="1">
        <v>1650</v>
      </c>
      <c r="B78" s="1">
        <v>1</v>
      </c>
      <c r="C78" s="1">
        <v>3</v>
      </c>
      <c r="D78" s="1">
        <v>23</v>
      </c>
      <c r="E78" s="1" t="s">
        <v>62</v>
      </c>
      <c r="F78" s="1" t="s">
        <v>93</v>
      </c>
      <c r="G78" s="1" t="s">
        <v>43</v>
      </c>
      <c r="H78" s="1" t="s">
        <v>77</v>
      </c>
      <c r="I78" s="1">
        <v>960</v>
      </c>
      <c r="J78" s="1">
        <v>930</v>
      </c>
      <c r="K78" s="1">
        <v>1020</v>
      </c>
      <c r="L78" s="53">
        <v>0.67638888888888893</v>
      </c>
    </row>
    <row r="79" spans="1:12" x14ac:dyDescent="0.25">
      <c r="A79" s="1">
        <v>1650</v>
      </c>
      <c r="B79" s="1">
        <v>1</v>
      </c>
      <c r="C79" s="1">
        <v>4</v>
      </c>
      <c r="D79" s="1">
        <v>26</v>
      </c>
      <c r="E79" s="1" t="s">
        <v>120</v>
      </c>
      <c r="F79" s="1" t="s">
        <v>121</v>
      </c>
      <c r="G79" s="1" t="s">
        <v>49</v>
      </c>
      <c r="H79" s="1" t="s">
        <v>69</v>
      </c>
      <c r="I79" s="1">
        <v>990</v>
      </c>
      <c r="J79" s="1">
        <v>960</v>
      </c>
      <c r="K79" s="1">
        <v>1050</v>
      </c>
      <c r="L79" s="53">
        <v>0.67638888888888893</v>
      </c>
    </row>
    <row r="80" spans="1:12" x14ac:dyDescent="0.25">
      <c r="A80" s="1">
        <v>1650</v>
      </c>
      <c r="B80" s="1">
        <v>1</v>
      </c>
      <c r="C80" s="1">
        <v>5</v>
      </c>
      <c r="D80" s="1">
        <v>9</v>
      </c>
      <c r="E80" s="1" t="s">
        <v>137</v>
      </c>
      <c r="F80" s="1" t="s">
        <v>138</v>
      </c>
      <c r="G80" s="1" t="s">
        <v>43</v>
      </c>
      <c r="H80" s="1" t="s">
        <v>59</v>
      </c>
      <c r="I80" s="1">
        <v>1020</v>
      </c>
      <c r="J80" s="1">
        <v>990</v>
      </c>
      <c r="K80" s="1">
        <v>1080</v>
      </c>
      <c r="L80" s="53">
        <v>0.67638888888888893</v>
      </c>
    </row>
    <row r="81" spans="1:12" x14ac:dyDescent="0.25">
      <c r="A81" s="1">
        <v>1650</v>
      </c>
      <c r="B81" s="1">
        <v>2</v>
      </c>
      <c r="C81" s="1">
        <v>1</v>
      </c>
      <c r="D81" s="1">
        <v>21</v>
      </c>
      <c r="E81" s="1" t="s">
        <v>75</v>
      </c>
      <c r="F81" s="1" t="s">
        <v>84</v>
      </c>
      <c r="G81" s="1" t="s">
        <v>43</v>
      </c>
      <c r="H81" s="1" t="s">
        <v>77</v>
      </c>
      <c r="I81" s="1">
        <v>1020</v>
      </c>
      <c r="J81" s="1">
        <v>990</v>
      </c>
      <c r="K81" s="1">
        <v>1080</v>
      </c>
      <c r="L81" s="53">
        <v>0.68263888888888891</v>
      </c>
    </row>
    <row r="82" spans="1:12" x14ac:dyDescent="0.25">
      <c r="A82" s="1">
        <v>1650</v>
      </c>
      <c r="B82" s="1">
        <v>2</v>
      </c>
      <c r="C82" s="1">
        <v>2</v>
      </c>
      <c r="D82" s="1">
        <v>4</v>
      </c>
      <c r="E82" s="1" t="s">
        <v>47</v>
      </c>
      <c r="F82" s="1" t="s">
        <v>48</v>
      </c>
      <c r="G82" s="1" t="s">
        <v>49</v>
      </c>
      <c r="H82" s="1" t="s">
        <v>46</v>
      </c>
      <c r="I82" s="1">
        <v>1050</v>
      </c>
      <c r="J82" s="1">
        <v>1020</v>
      </c>
      <c r="K82" s="1">
        <v>1110</v>
      </c>
      <c r="L82" s="53">
        <v>0.68263888888888891</v>
      </c>
    </row>
    <row r="83" spans="1:12" x14ac:dyDescent="0.25">
      <c r="A83" s="1">
        <v>1650</v>
      </c>
      <c r="B83" s="1">
        <v>2</v>
      </c>
      <c r="C83" s="1">
        <v>3</v>
      </c>
      <c r="D83" s="1">
        <v>40</v>
      </c>
      <c r="E83" s="1" t="s">
        <v>94</v>
      </c>
      <c r="F83" s="1" t="s">
        <v>95</v>
      </c>
      <c r="G83" s="1" t="s">
        <v>49</v>
      </c>
      <c r="H83" s="1" t="s">
        <v>51</v>
      </c>
      <c r="I83" s="1">
        <v>1080</v>
      </c>
      <c r="J83" s="1">
        <v>1050</v>
      </c>
      <c r="K83" s="1">
        <v>1140</v>
      </c>
      <c r="L83" s="53">
        <v>0.68263888888888891</v>
      </c>
    </row>
    <row r="84" spans="1:12" x14ac:dyDescent="0.25">
      <c r="A84" s="1">
        <v>1650</v>
      </c>
      <c r="B84" s="1">
        <v>2</v>
      </c>
      <c r="C84" s="1">
        <v>4</v>
      </c>
      <c r="D84" s="1">
        <v>31</v>
      </c>
      <c r="E84" s="1" t="s">
        <v>62</v>
      </c>
      <c r="F84" s="1" t="s">
        <v>63</v>
      </c>
      <c r="G84" s="1" t="s">
        <v>43</v>
      </c>
      <c r="H84" s="1" t="s">
        <v>64</v>
      </c>
      <c r="I84" s="1">
        <v>1080</v>
      </c>
      <c r="J84" s="1">
        <v>1050</v>
      </c>
      <c r="K84" s="1">
        <v>1140</v>
      </c>
      <c r="L84" s="53">
        <v>0.68263888888888891</v>
      </c>
    </row>
    <row r="85" spans="1:12" x14ac:dyDescent="0.25">
      <c r="A85" s="1">
        <v>1650</v>
      </c>
      <c r="B85" s="1">
        <v>2</v>
      </c>
      <c r="C85" s="1">
        <v>5</v>
      </c>
      <c r="D85" s="1">
        <v>45</v>
      </c>
      <c r="E85" s="1" t="s">
        <v>128</v>
      </c>
      <c r="F85" s="1" t="s">
        <v>129</v>
      </c>
      <c r="G85" s="1" t="s">
        <v>43</v>
      </c>
      <c r="H85" s="1" t="s">
        <v>44</v>
      </c>
      <c r="I85" s="1">
        <v>1080</v>
      </c>
      <c r="J85" s="1">
        <v>1050</v>
      </c>
      <c r="K85" s="1">
        <v>1140</v>
      </c>
      <c r="L85" s="53">
        <v>0.68263888888888891</v>
      </c>
    </row>
    <row r="86" spans="1:12" x14ac:dyDescent="0.25">
      <c r="A86" s="1">
        <v>1650</v>
      </c>
      <c r="B86" s="1">
        <v>3</v>
      </c>
      <c r="C86" s="1">
        <v>1</v>
      </c>
      <c r="D86" s="1">
        <v>36</v>
      </c>
      <c r="E86" s="1" t="s">
        <v>130</v>
      </c>
      <c r="F86" s="1" t="s">
        <v>131</v>
      </c>
      <c r="G86" s="1" t="s">
        <v>43</v>
      </c>
      <c r="H86" s="1" t="s">
        <v>51</v>
      </c>
      <c r="I86" s="1">
        <v>1140</v>
      </c>
      <c r="J86" s="1">
        <v>1110</v>
      </c>
      <c r="K86" s="1">
        <v>1200</v>
      </c>
      <c r="L86" s="53">
        <v>0.68888888888888899</v>
      </c>
    </row>
    <row r="87" spans="1:12" x14ac:dyDescent="0.25">
      <c r="A87" s="1">
        <v>1650</v>
      </c>
      <c r="B87" s="1">
        <v>3</v>
      </c>
      <c r="C87" s="1">
        <v>2</v>
      </c>
      <c r="D87" s="1">
        <v>28</v>
      </c>
      <c r="E87" s="1" t="s">
        <v>124</v>
      </c>
      <c r="F87" s="1" t="s">
        <v>125</v>
      </c>
      <c r="G87" s="1" t="s">
        <v>43</v>
      </c>
      <c r="H87" s="1" t="s">
        <v>69</v>
      </c>
      <c r="I87" s="1">
        <v>1200</v>
      </c>
      <c r="J87" s="1">
        <v>1170</v>
      </c>
      <c r="K87" s="1">
        <v>1260</v>
      </c>
      <c r="L87" s="53">
        <v>0.68888888888888899</v>
      </c>
    </row>
    <row r="88" spans="1:12" x14ac:dyDescent="0.25">
      <c r="A88" s="1">
        <v>1650</v>
      </c>
      <c r="B88" s="1">
        <v>3</v>
      </c>
      <c r="C88" s="1">
        <v>3</v>
      </c>
      <c r="D88" s="1">
        <v>10</v>
      </c>
      <c r="E88" s="1" t="s">
        <v>73</v>
      </c>
      <c r="F88" s="1" t="s">
        <v>74</v>
      </c>
      <c r="G88" s="1" t="s">
        <v>43</v>
      </c>
      <c r="H88" s="1" t="s">
        <v>59</v>
      </c>
      <c r="I88" s="1">
        <v>1200</v>
      </c>
      <c r="J88" s="1">
        <v>1170</v>
      </c>
      <c r="K88" s="1">
        <v>1260</v>
      </c>
      <c r="L88" s="53">
        <v>0.68888888888888899</v>
      </c>
    </row>
    <row r="89" spans="1:12" x14ac:dyDescent="0.25">
      <c r="A89" s="1">
        <v>1650</v>
      </c>
      <c r="B89" s="1">
        <v>3</v>
      </c>
      <c r="C89" s="1">
        <v>4</v>
      </c>
      <c r="D89" s="1">
        <v>12</v>
      </c>
      <c r="E89" s="1" t="s">
        <v>126</v>
      </c>
      <c r="F89" s="1" t="s">
        <v>127</v>
      </c>
      <c r="G89" s="1" t="s">
        <v>43</v>
      </c>
      <c r="H89" s="1" t="s">
        <v>72</v>
      </c>
      <c r="I89" s="1">
        <v>1260</v>
      </c>
      <c r="J89" s="1">
        <v>1230</v>
      </c>
      <c r="K89" s="1">
        <v>1320</v>
      </c>
      <c r="L89" s="53">
        <v>0.68888888888888899</v>
      </c>
    </row>
    <row r="90" spans="1:12" x14ac:dyDescent="0.25">
      <c r="A90" s="1">
        <v>1650</v>
      </c>
      <c r="B90" s="1">
        <v>3</v>
      </c>
      <c r="C90" s="1">
        <v>5</v>
      </c>
      <c r="D90" s="1">
        <v>46</v>
      </c>
      <c r="E90" s="1" t="s">
        <v>65</v>
      </c>
      <c r="F90" s="1" t="s">
        <v>66</v>
      </c>
      <c r="G90" s="1" t="s">
        <v>49</v>
      </c>
      <c r="H90" s="1" t="s">
        <v>44</v>
      </c>
      <c r="I90" s="1">
        <v>1315</v>
      </c>
      <c r="J90" s="1">
        <v>1285</v>
      </c>
      <c r="K90" s="1">
        <v>1375</v>
      </c>
      <c r="L90" s="53">
        <v>0.68888888888888899</v>
      </c>
    </row>
    <row r="91" spans="1:12" x14ac:dyDescent="0.25">
      <c r="A91" s="1">
        <v>1650</v>
      </c>
      <c r="B91" s="1">
        <v>4</v>
      </c>
      <c r="C91" s="1">
        <v>1</v>
      </c>
      <c r="D91" s="1">
        <v>16</v>
      </c>
      <c r="E91" s="1" t="s">
        <v>106</v>
      </c>
      <c r="F91" s="1" t="s">
        <v>107</v>
      </c>
      <c r="G91" s="1" t="s">
        <v>49</v>
      </c>
      <c r="H91" s="1" t="s">
        <v>54</v>
      </c>
      <c r="I91" s="1">
        <v>1370</v>
      </c>
      <c r="J91" s="1">
        <v>1340</v>
      </c>
      <c r="K91" s="1">
        <v>1430</v>
      </c>
      <c r="L91" s="53">
        <v>0.69513888888888886</v>
      </c>
    </row>
    <row r="92" spans="1:12" x14ac:dyDescent="0.25">
      <c r="A92" s="1">
        <v>1650</v>
      </c>
      <c r="B92" s="1">
        <v>4</v>
      </c>
      <c r="C92" s="1">
        <v>2</v>
      </c>
      <c r="D92" s="1">
        <v>32</v>
      </c>
      <c r="E92" s="1" t="s">
        <v>85</v>
      </c>
      <c r="F92" s="1" t="s">
        <v>132</v>
      </c>
      <c r="G92" s="1" t="s">
        <v>43</v>
      </c>
      <c r="H92" s="1" t="s">
        <v>64</v>
      </c>
      <c r="I92" s="1">
        <v>1440</v>
      </c>
      <c r="J92" s="1">
        <v>1410</v>
      </c>
      <c r="K92" s="1">
        <v>1500</v>
      </c>
      <c r="L92" s="53">
        <v>0.69513888888888886</v>
      </c>
    </row>
    <row r="93" spans="1:12" x14ac:dyDescent="0.25">
      <c r="A93" s="1">
        <v>1650</v>
      </c>
      <c r="B93" s="1">
        <v>4</v>
      </c>
      <c r="C93" s="1">
        <v>3</v>
      </c>
      <c r="D93" s="1">
        <v>13</v>
      </c>
      <c r="E93" s="1" t="s">
        <v>87</v>
      </c>
      <c r="F93" s="1" t="s">
        <v>88</v>
      </c>
      <c r="G93" s="1" t="s">
        <v>43</v>
      </c>
      <c r="H93" s="1" t="s">
        <v>72</v>
      </c>
      <c r="I93" s="1">
        <v>1560</v>
      </c>
      <c r="J93" s="1">
        <v>1530</v>
      </c>
      <c r="K93" s="1">
        <v>1620</v>
      </c>
      <c r="L93" s="53">
        <v>0.69513888888888886</v>
      </c>
    </row>
  </sheetData>
  <conditionalFormatting sqref="A1:L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Y522"/>
  <sheetViews>
    <sheetView topLeftCell="A72" zoomScale="70" zoomScaleNormal="70" workbookViewId="0">
      <selection activeCell="R40" sqref="R40"/>
    </sheetView>
  </sheetViews>
  <sheetFormatPr baseColWidth="10" defaultColWidth="9.140625" defaultRowHeight="15" x14ac:dyDescent="0.25"/>
  <cols>
    <col min="1" max="1" width="10.5703125" bestFit="1" customWidth="1"/>
    <col min="2" max="2" width="8.7109375" bestFit="1" customWidth="1"/>
    <col min="3" max="3" width="9.7109375" bestFit="1" customWidth="1"/>
    <col min="4" max="4" width="14.5703125" bestFit="1" customWidth="1"/>
    <col min="5" max="5" width="11.42578125" bestFit="1" customWidth="1"/>
    <col min="6" max="6" width="11.140625" bestFit="1" customWidth="1"/>
    <col min="7" max="7" width="9.7109375" style="45" bestFit="1" customWidth="1"/>
    <col min="8" max="8" width="35" bestFit="1" customWidth="1"/>
    <col min="9" max="9" width="13.5703125" bestFit="1" customWidth="1"/>
    <col min="10" max="10" width="13.42578125" bestFit="1" customWidth="1"/>
    <col min="11" max="11" width="12.85546875" bestFit="1" customWidth="1"/>
    <col min="12" max="12" width="8.5703125" bestFit="1" customWidth="1"/>
    <col min="13" max="14" width="7.85546875" bestFit="1" customWidth="1"/>
    <col min="15" max="16" width="8.28515625" bestFit="1" customWidth="1"/>
    <col min="17" max="18" width="8.5703125" bestFit="1" customWidth="1"/>
    <col min="19" max="20" width="8.85546875" bestFit="1" customWidth="1"/>
    <col min="21" max="22" width="8.5703125" bestFit="1" customWidth="1"/>
    <col min="23" max="24" width="8.85546875" bestFit="1" customWidth="1"/>
    <col min="25" max="25" width="19.85546875" bestFit="1" customWidth="1"/>
  </cols>
  <sheetData>
    <row r="1" spans="1:25" ht="18.75" x14ac:dyDescent="0.3">
      <c r="A1" s="94" t="s">
        <v>4</v>
      </c>
      <c r="B1" s="106" t="s">
        <v>0</v>
      </c>
      <c r="C1" s="107"/>
      <c r="D1" s="106" t="s">
        <v>1</v>
      </c>
      <c r="E1" s="108"/>
      <c r="F1" s="107"/>
      <c r="G1" s="109"/>
      <c r="H1" s="89" t="s">
        <v>2</v>
      </c>
      <c r="I1" s="91" t="s">
        <v>3</v>
      </c>
      <c r="J1" s="92"/>
      <c r="K1" s="92"/>
      <c r="L1" s="93"/>
      <c r="M1" s="96" t="s">
        <v>5</v>
      </c>
      <c r="N1" s="96"/>
      <c r="O1" s="96"/>
      <c r="P1" s="96"/>
      <c r="Q1" s="97" t="s">
        <v>6</v>
      </c>
      <c r="R1" s="98"/>
      <c r="S1" s="98"/>
      <c r="T1" s="99"/>
      <c r="U1" s="96" t="s">
        <v>5</v>
      </c>
      <c r="V1" s="96"/>
      <c r="W1" s="96"/>
      <c r="X1" s="103"/>
      <c r="Y1" s="87" t="s">
        <v>7</v>
      </c>
    </row>
    <row r="2" spans="1:25" ht="19.5" thickBot="1" x14ac:dyDescent="0.3">
      <c r="A2" s="95"/>
      <c r="B2" s="19" t="s">
        <v>8</v>
      </c>
      <c r="C2" s="30" t="s">
        <v>9</v>
      </c>
      <c r="D2" s="19" t="s">
        <v>10</v>
      </c>
      <c r="E2" s="29" t="s">
        <v>11</v>
      </c>
      <c r="F2" s="30" t="s">
        <v>12</v>
      </c>
      <c r="G2" s="43" t="s">
        <v>9</v>
      </c>
      <c r="H2" s="90"/>
      <c r="I2" s="3" t="s">
        <v>13</v>
      </c>
      <c r="J2" s="2" t="s">
        <v>14</v>
      </c>
      <c r="K2" s="2" t="s">
        <v>15</v>
      </c>
      <c r="L2" s="31" t="s">
        <v>16</v>
      </c>
      <c r="M2" s="104" t="s">
        <v>17</v>
      </c>
      <c r="N2" s="104"/>
      <c r="O2" s="104"/>
      <c r="P2" s="104"/>
      <c r="Q2" s="100"/>
      <c r="R2" s="101"/>
      <c r="S2" s="101"/>
      <c r="T2" s="102"/>
      <c r="U2" s="104" t="s">
        <v>18</v>
      </c>
      <c r="V2" s="104"/>
      <c r="W2" s="104"/>
      <c r="X2" s="105"/>
      <c r="Y2" s="88"/>
    </row>
    <row r="3" spans="1:25" ht="15.75" thickBot="1" x14ac:dyDescent="0.3">
      <c r="A3" s="16" t="s">
        <v>4</v>
      </c>
      <c r="B3" s="10" t="s">
        <v>8</v>
      </c>
      <c r="C3" s="13" t="s">
        <v>9</v>
      </c>
      <c r="D3" s="54">
        <v>30</v>
      </c>
      <c r="E3" s="55">
        <v>3</v>
      </c>
      <c r="F3" s="56">
        <v>2</v>
      </c>
      <c r="G3" s="44" t="s">
        <v>9</v>
      </c>
      <c r="H3" s="8" t="s">
        <v>19</v>
      </c>
      <c r="I3" s="9" t="s">
        <v>13</v>
      </c>
      <c r="J3" s="10" t="s">
        <v>14</v>
      </c>
      <c r="K3" s="10" t="s">
        <v>20</v>
      </c>
      <c r="L3" s="11" t="s">
        <v>16</v>
      </c>
      <c r="M3" s="12" t="s">
        <v>21</v>
      </c>
      <c r="N3" s="10" t="s">
        <v>22</v>
      </c>
      <c r="O3" s="10" t="s">
        <v>23</v>
      </c>
      <c r="P3" s="13" t="s">
        <v>24</v>
      </c>
      <c r="Q3" s="9" t="s">
        <v>25</v>
      </c>
      <c r="R3" s="10" t="s">
        <v>26</v>
      </c>
      <c r="S3" s="10" t="s">
        <v>27</v>
      </c>
      <c r="T3" s="11" t="s">
        <v>28</v>
      </c>
      <c r="U3" s="12" t="s">
        <v>29</v>
      </c>
      <c r="V3" s="10" t="s">
        <v>30</v>
      </c>
      <c r="W3" s="10" t="s">
        <v>31</v>
      </c>
      <c r="X3" s="11" t="s">
        <v>32</v>
      </c>
      <c r="Y3" s="1"/>
    </row>
    <row r="4" spans="1:25" ht="15.75" x14ac:dyDescent="0.25">
      <c r="A4" s="15" t="str">
        <f>Données_Planning!A2</f>
        <v>sta</v>
      </c>
      <c r="B4" s="32">
        <f>Données_Planning!B2</f>
        <v>1</v>
      </c>
      <c r="C4" s="24">
        <f>Données_Planning!C2</f>
        <v>1</v>
      </c>
      <c r="D4" s="48">
        <f>IF(G4 -TIME(0,$D$3,0)&gt;0, G4 -TIME(0,$D$3,0), 0)</f>
        <v>0.40625</v>
      </c>
      <c r="E4" s="48">
        <f>IF(G4 -TIME(0,$E$3,0)&gt;0, G4 -TIME(0,$E$3,0), 0)</f>
        <v>0.42499999999999999</v>
      </c>
      <c r="F4" s="49">
        <f>IF(G4 -TIME(0,$F$3,0)&gt;0, G4 -TIME(0,$F$3,0), 0)</f>
        <v>0.42569444444444443</v>
      </c>
      <c r="G4" s="46">
        <f>Données_Planning!L2</f>
        <v>0.42708333333333331</v>
      </c>
      <c r="H4" s="17" t="str">
        <f>Données_Planning!H2</f>
        <v>Enjoy And Relax</v>
      </c>
      <c r="I4" s="14">
        <f>Données_Planning!D2</f>
        <v>13</v>
      </c>
      <c r="J4" s="21" t="str">
        <f>Données_Planning!F2</f>
        <v>DUCRUIX</v>
      </c>
      <c r="K4" s="21" t="str">
        <f>Données_Planning!E2</f>
        <v>Rodoplhe</v>
      </c>
      <c r="L4" s="34" t="str">
        <f>Données_Planning!G2</f>
        <v>H</v>
      </c>
      <c r="M4" s="25">
        <f>(IF(OR(A4="DWF",A4="DNF"),0,QUOTIENT(Données_Planning!J2,60)))</f>
        <v>2</v>
      </c>
      <c r="N4" s="23" t="str">
        <f>(IF(OR(A4="DWF",A4="DNF"),0,"min"))</f>
        <v>min</v>
      </c>
      <c r="O4" s="26">
        <f>(IF(OR(A4="DWF",A4="DNF"),Données_Planning!J2,MOD(Données_Planning!J2,60)))</f>
        <v>30</v>
      </c>
      <c r="P4" s="24" t="str">
        <f>(IF(OR(A4="DWF",A4="DNF"),"m","s"))</f>
        <v>s</v>
      </c>
      <c r="Q4" s="25">
        <f>(IF(OR(A4="DWF",A4="DNF"),0,QUOTIENT(Données_Planning!I2,60)))</f>
        <v>3</v>
      </c>
      <c r="R4" s="23" t="str">
        <f>(IF(OR(A4="DWF",A4="DNF"),0,"min"))</f>
        <v>min</v>
      </c>
      <c r="S4" s="26">
        <f>(IF(OR(A4="DWF",A4="DNF"),Données_Planning!I2,MOD(Données_Planning!I2,60)))</f>
        <v>30</v>
      </c>
      <c r="T4" s="24" t="str">
        <f>(IF(OR(A4="DWF",A4="DNF"),"m","s"))</f>
        <v>s</v>
      </c>
      <c r="U4" s="25">
        <f>(IF(OR(A4="DWF",A4="DNF"),0,QUOTIENT(Données_Planning!K2,60)))</f>
        <v>4</v>
      </c>
      <c r="V4" s="23" t="str">
        <f>(IF(OR(A4="DWF",A4="DNF"),0,"min"))</f>
        <v>min</v>
      </c>
      <c r="W4" s="26">
        <f>(IF(OR(A4="DWF",A4="DNF"),Données_Planning!K2,MOD(Données_Planning!K2,60)))</f>
        <v>30</v>
      </c>
      <c r="X4" s="27" t="str">
        <f>(IF(OR(A4="DWF",A4="DNF"),"m","s"))</f>
        <v>s</v>
      </c>
      <c r="Y4" s="41"/>
    </row>
    <row r="5" spans="1:25" ht="15.75" x14ac:dyDescent="0.25">
      <c r="A5" s="4" t="str">
        <f>Données_Planning!A3</f>
        <v>sta</v>
      </c>
      <c r="B5" s="6">
        <f>Données_Planning!B3</f>
        <v>1</v>
      </c>
      <c r="C5" s="28">
        <f>Données_Planning!C3</f>
        <v>2</v>
      </c>
      <c r="D5" s="50">
        <f t="shared" ref="D5:D68" si="0">IF(G5 -TIME(0,$D$3,0)&gt;0, G5 -TIME(0,$D$3,0), 0)</f>
        <v>0.40625</v>
      </c>
      <c r="E5" s="51">
        <f t="shared" ref="E5:E68" si="1">IF(G5 -TIME(0,$E$3,0)&gt;0, G5 -TIME(0,$E$3,0), 0)</f>
        <v>0.42499999999999999</v>
      </c>
      <c r="F5" s="52">
        <f t="shared" ref="F5:F68" si="2">IF(G5 -TIME(0,$F$3,0)&gt;0, G5 -TIME(0,$F$3,0), 0)</f>
        <v>0.42569444444444443</v>
      </c>
      <c r="G5" s="47">
        <f>Données_Planning!L3</f>
        <v>0.42708333333333331</v>
      </c>
      <c r="H5" s="123" t="str">
        <f>Données_Planning!H3</f>
        <v>LIMULES</v>
      </c>
      <c r="I5" s="5">
        <f>Données_Planning!D3</f>
        <v>34</v>
      </c>
      <c r="J5" s="22" t="str">
        <f>Données_Planning!F3</f>
        <v>PETTENUZZO</v>
      </c>
      <c r="K5" s="22" t="str">
        <f>Données_Planning!E3</f>
        <v>Stéphane</v>
      </c>
      <c r="L5" s="35" t="str">
        <f>Données_Planning!G3</f>
        <v>H</v>
      </c>
      <c r="M5" s="37">
        <f>(IF(OR(A5="DWF",A5="DNF"),0,QUOTIENT(Données_Planning!J3,60)))</f>
        <v>2</v>
      </c>
      <c r="N5" s="7" t="str">
        <f t="shared" ref="N5:N68" si="3">(IF(OR(A5="DWF",A5="DNF"),0,"min"))</f>
        <v>min</v>
      </c>
      <c r="O5" s="36">
        <f>(IF(OR(A5="DWF",A5="DNF"),Données_Planning!J3,MOD(Données_Planning!J3,60)))</f>
        <v>35</v>
      </c>
      <c r="P5" s="28" t="str">
        <f t="shared" ref="P5:P68" si="4">(IF(OR(A5="DWF",A5="DNF"),"m","s"))</f>
        <v>s</v>
      </c>
      <c r="Q5" s="37">
        <f>(IF(OR(A5="DWF",A5="DNF"),0,QUOTIENT(Données_Planning!I3,60)))</f>
        <v>3</v>
      </c>
      <c r="R5" s="7" t="str">
        <f t="shared" ref="R5:R68" si="5">(IF(OR(A5="DWF",A5="DNF"),0,"min"))</f>
        <v>min</v>
      </c>
      <c r="S5" s="36">
        <f>(IF(OR(A5="DWF",A5="DNF"),Données_Planning!I3,MOD(Données_Planning!I3,60)))</f>
        <v>35</v>
      </c>
      <c r="T5" s="28" t="str">
        <f t="shared" ref="T5:T68" si="6">(IF(OR(A5="DWF",A5="DNF"),"m","s"))</f>
        <v>s</v>
      </c>
      <c r="U5" s="37">
        <f>(IF(OR(A5="DWF",A5="DNF"),0,QUOTIENT(Données_Planning!K3,60)))</f>
        <v>4</v>
      </c>
      <c r="V5" s="7" t="str">
        <f t="shared" ref="V5:V68" si="7">(IF(OR(A5="DWF",A5="DNF"),0,"min"))</f>
        <v>min</v>
      </c>
      <c r="W5" s="36">
        <f>(IF(OR(A5="DWF",A5="DNF"),Données_Planning!K3,MOD(Données_Planning!K3,60)))</f>
        <v>35</v>
      </c>
      <c r="X5" s="38" t="str">
        <f t="shared" ref="X5:X68" si="8">(IF(OR(A5="DWF",A5="DNF"),"m","s"))</f>
        <v>s</v>
      </c>
      <c r="Y5" s="42"/>
    </row>
    <row r="6" spans="1:25" ht="15.75" x14ac:dyDescent="0.25">
      <c r="A6" s="4" t="str">
        <f>Données_Planning!A4</f>
        <v>sta</v>
      </c>
      <c r="B6" s="6">
        <f>Données_Planning!B4</f>
        <v>1</v>
      </c>
      <c r="C6" s="28">
        <f>Données_Planning!C4</f>
        <v>3</v>
      </c>
      <c r="D6" s="50">
        <f t="shared" si="0"/>
        <v>0.40625</v>
      </c>
      <c r="E6" s="51">
        <f t="shared" si="1"/>
        <v>0.42499999999999999</v>
      </c>
      <c r="F6" s="52">
        <f t="shared" si="2"/>
        <v>0.42569444444444443</v>
      </c>
      <c r="G6" s="47">
        <f>Données_Planning!L4</f>
        <v>0.42708333333333331</v>
      </c>
      <c r="H6" s="18" t="str">
        <f>Données_Planning!H4</f>
        <v>Les Cormorans 2</v>
      </c>
      <c r="I6" s="5">
        <f>Données_Planning!D4</f>
        <v>27</v>
      </c>
      <c r="J6" s="22" t="str">
        <f>Données_Planning!F4</f>
        <v>BRATANIC</v>
      </c>
      <c r="K6" s="22" t="str">
        <f>Données_Planning!E4</f>
        <v>Christopher</v>
      </c>
      <c r="L6" s="35" t="str">
        <f>Données_Planning!G4</f>
        <v>H</v>
      </c>
      <c r="M6" s="37">
        <f>(IF(OR(A6="DWF",A6="DNF"),0,QUOTIENT(Données_Planning!J4,60)))</f>
        <v>2</v>
      </c>
      <c r="N6" s="7" t="str">
        <f t="shared" si="3"/>
        <v>min</v>
      </c>
      <c r="O6" s="36">
        <f>(IF(OR(A6="DWF",A6="DNF"),Données_Planning!J4,MOD(Données_Planning!J4,60)))</f>
        <v>50</v>
      </c>
      <c r="P6" s="28" t="str">
        <f t="shared" si="4"/>
        <v>s</v>
      </c>
      <c r="Q6" s="37">
        <f>(IF(OR(A6="DWF",A6="DNF"),0,QUOTIENT(Données_Planning!I4,60)))</f>
        <v>3</v>
      </c>
      <c r="R6" s="7" t="str">
        <f t="shared" si="5"/>
        <v>min</v>
      </c>
      <c r="S6" s="36">
        <f>(IF(OR(A6="DWF",A6="DNF"),Données_Planning!I4,MOD(Données_Planning!I4,60)))</f>
        <v>50</v>
      </c>
      <c r="T6" s="28" t="str">
        <f t="shared" si="6"/>
        <v>s</v>
      </c>
      <c r="U6" s="37">
        <f>(IF(OR(A6="DWF",A6="DNF"),0,QUOTIENT(Données_Planning!K4,60)))</f>
        <v>4</v>
      </c>
      <c r="V6" s="7" t="str">
        <f t="shared" si="7"/>
        <v>min</v>
      </c>
      <c r="W6" s="36">
        <f>(IF(OR(A6="DWF",A6="DNF"),Données_Planning!K4,MOD(Données_Planning!K4,60)))</f>
        <v>50</v>
      </c>
      <c r="X6" s="38" t="str">
        <f t="shared" si="8"/>
        <v>s</v>
      </c>
      <c r="Y6" s="42"/>
    </row>
    <row r="7" spans="1:25" ht="15.75" x14ac:dyDescent="0.25">
      <c r="A7" s="4" t="str">
        <f>Données_Planning!A5</f>
        <v>sta</v>
      </c>
      <c r="B7" s="6">
        <f>Données_Planning!B5</f>
        <v>1</v>
      </c>
      <c r="C7" s="28">
        <f>Données_Planning!C5</f>
        <v>4</v>
      </c>
      <c r="D7" s="50">
        <f t="shared" si="0"/>
        <v>0.40625</v>
      </c>
      <c r="E7" s="51">
        <f t="shared" si="1"/>
        <v>0.42499999999999999</v>
      </c>
      <c r="F7" s="52">
        <f t="shared" si="2"/>
        <v>0.42569444444444443</v>
      </c>
      <c r="G7" s="47">
        <f>Données_Planning!L5</f>
        <v>0.42708333333333331</v>
      </c>
      <c r="H7" s="18" t="str">
        <f>Données_Planning!H5</f>
        <v>SOLO</v>
      </c>
      <c r="I7" s="5">
        <f>Données_Planning!D5</f>
        <v>41</v>
      </c>
      <c r="J7" s="22" t="str">
        <f>Données_Planning!F5</f>
        <v>SALEH</v>
      </c>
      <c r="K7" s="22" t="str">
        <f>Données_Planning!E5</f>
        <v>Omr</v>
      </c>
      <c r="L7" s="35" t="str">
        <f>Données_Planning!G5</f>
        <v>H</v>
      </c>
      <c r="M7" s="37">
        <f>(IF(OR(A7="DWF",A7="DNF"),0,QUOTIENT(Données_Planning!J5,60)))</f>
        <v>3</v>
      </c>
      <c r="N7" s="7" t="str">
        <f t="shared" si="3"/>
        <v>min</v>
      </c>
      <c r="O7" s="36">
        <f>(IF(OR(A7="DWF",A7="DNF"),Données_Planning!J5,MOD(Données_Planning!J5,60)))</f>
        <v>0</v>
      </c>
      <c r="P7" s="28" t="str">
        <f t="shared" si="4"/>
        <v>s</v>
      </c>
      <c r="Q7" s="37">
        <f>(IF(OR(A7="DWF",A7="DNF"),0,QUOTIENT(Données_Planning!I5,60)))</f>
        <v>4</v>
      </c>
      <c r="R7" s="7" t="str">
        <f t="shared" si="5"/>
        <v>min</v>
      </c>
      <c r="S7" s="36">
        <f>(IF(OR(A7="DWF",A7="DNF"),Données_Planning!I5,MOD(Données_Planning!I5,60)))</f>
        <v>0</v>
      </c>
      <c r="T7" s="28" t="str">
        <f t="shared" si="6"/>
        <v>s</v>
      </c>
      <c r="U7" s="37">
        <f>(IF(OR(A7="DWF",A7="DNF"),0,QUOTIENT(Données_Planning!K5,60)))</f>
        <v>5</v>
      </c>
      <c r="V7" s="7" t="str">
        <f t="shared" si="7"/>
        <v>min</v>
      </c>
      <c r="W7" s="36">
        <f>(IF(OR(A7="DWF",A7="DNF"),Données_Planning!K5,MOD(Données_Planning!K5,60)))</f>
        <v>0</v>
      </c>
      <c r="X7" s="38" t="str">
        <f t="shared" si="8"/>
        <v>s</v>
      </c>
      <c r="Y7" s="42"/>
    </row>
    <row r="8" spans="1:25" ht="15.75" x14ac:dyDescent="0.25">
      <c r="A8" s="4" t="str">
        <f>Données_Planning!A6</f>
        <v>sta</v>
      </c>
      <c r="B8" s="6">
        <f>Données_Planning!B6</f>
        <v>2</v>
      </c>
      <c r="C8" s="28">
        <f>Données_Planning!C6</f>
        <v>1</v>
      </c>
      <c r="D8" s="50">
        <f t="shared" si="0"/>
        <v>0.4145833333333333</v>
      </c>
      <c r="E8" s="51">
        <f t="shared" si="1"/>
        <v>0.43333333333333329</v>
      </c>
      <c r="F8" s="52">
        <f t="shared" si="2"/>
        <v>0.43402777777777773</v>
      </c>
      <c r="G8" s="47">
        <f>Données_Planning!L6</f>
        <v>0.43541666666666662</v>
      </c>
      <c r="H8" s="18" t="str">
        <f>Données_Planning!H6</f>
        <v>Les Cormorans 1</v>
      </c>
      <c r="I8" s="5">
        <f>Données_Planning!D6</f>
        <v>25</v>
      </c>
      <c r="J8" s="22" t="str">
        <f>Données_Planning!F6</f>
        <v>QUERY</v>
      </c>
      <c r="K8" s="22" t="str">
        <f>Données_Planning!E6</f>
        <v>Michelle</v>
      </c>
      <c r="L8" s="35" t="str">
        <f>Données_Planning!G6</f>
        <v>F</v>
      </c>
      <c r="M8" s="37">
        <f>(IF(OR(A8="DWF",A8="DNF"),0,QUOTIENT(Données_Planning!J6,60)))</f>
        <v>3</v>
      </c>
      <c r="N8" s="7" t="str">
        <f t="shared" si="3"/>
        <v>min</v>
      </c>
      <c r="O8" s="36">
        <f>(IF(OR(A8="DWF",A8="DNF"),Données_Planning!J6,MOD(Données_Planning!J6,60)))</f>
        <v>10</v>
      </c>
      <c r="P8" s="28" t="str">
        <f t="shared" si="4"/>
        <v>s</v>
      </c>
      <c r="Q8" s="37">
        <f>(IF(OR(A8="DWF",A8="DNF"),0,QUOTIENT(Données_Planning!I6,60)))</f>
        <v>4</v>
      </c>
      <c r="R8" s="7" t="str">
        <f t="shared" si="5"/>
        <v>min</v>
      </c>
      <c r="S8" s="36">
        <f>(IF(OR(A8="DWF",A8="DNF"),Données_Planning!I6,MOD(Données_Planning!I6,60)))</f>
        <v>10</v>
      </c>
      <c r="T8" s="28" t="str">
        <f t="shared" si="6"/>
        <v>s</v>
      </c>
      <c r="U8" s="37">
        <f>(IF(OR(A8="DWF",A8="DNF"),0,QUOTIENT(Données_Planning!K6,60)))</f>
        <v>5</v>
      </c>
      <c r="V8" s="7" t="str">
        <f t="shared" si="7"/>
        <v>min</v>
      </c>
      <c r="W8" s="36">
        <f>(IF(OR(A8="DWF",A8="DNF"),Données_Planning!K6,MOD(Données_Planning!K6,60)))</f>
        <v>10</v>
      </c>
      <c r="X8" s="38" t="str">
        <f t="shared" si="8"/>
        <v>s</v>
      </c>
      <c r="Y8" s="42"/>
    </row>
    <row r="9" spans="1:25" ht="15.75" x14ac:dyDescent="0.25">
      <c r="A9" s="4" t="str">
        <f>Données_Planning!A7</f>
        <v>sta</v>
      </c>
      <c r="B9" s="6">
        <f>Données_Planning!B7</f>
        <v>2</v>
      </c>
      <c r="C9" s="28">
        <f>Données_Planning!C7</f>
        <v>2</v>
      </c>
      <c r="D9" s="50">
        <f t="shared" si="0"/>
        <v>0.4145833333333333</v>
      </c>
      <c r="E9" s="51">
        <f t="shared" si="1"/>
        <v>0.43333333333333329</v>
      </c>
      <c r="F9" s="52">
        <f t="shared" si="2"/>
        <v>0.43402777777777773</v>
      </c>
      <c r="G9" s="47">
        <f>Données_Planning!L7</f>
        <v>0.43541666666666662</v>
      </c>
      <c r="H9" s="18" t="str">
        <f>Données_Planning!H7</f>
        <v>Les Cormorans 1</v>
      </c>
      <c r="I9" s="5">
        <f>Données_Planning!D7</f>
        <v>22</v>
      </c>
      <c r="J9" s="22" t="str">
        <f>Données_Planning!F7</f>
        <v>GASS</v>
      </c>
      <c r="K9" s="22" t="str">
        <f>Données_Planning!E7</f>
        <v>Alexandre</v>
      </c>
      <c r="L9" s="35" t="str">
        <f>Données_Planning!G7</f>
        <v>H</v>
      </c>
      <c r="M9" s="37">
        <f>(IF(OR(A9="DWF",A9="DNF"),0,QUOTIENT(Données_Planning!J7,60)))</f>
        <v>3</v>
      </c>
      <c r="N9" s="7" t="str">
        <f t="shared" si="3"/>
        <v>min</v>
      </c>
      <c r="O9" s="36">
        <f>(IF(OR(A9="DWF",A9="DNF"),Données_Planning!J7,MOD(Données_Planning!J7,60)))</f>
        <v>25</v>
      </c>
      <c r="P9" s="28" t="str">
        <f t="shared" si="4"/>
        <v>s</v>
      </c>
      <c r="Q9" s="37">
        <f>(IF(OR(A9="DWF",A9="DNF"),0,QUOTIENT(Données_Planning!I7,60)))</f>
        <v>4</v>
      </c>
      <c r="R9" s="7" t="str">
        <f t="shared" si="5"/>
        <v>min</v>
      </c>
      <c r="S9" s="36">
        <f>(IF(OR(A9="DWF",A9="DNF"),Données_Planning!I7,MOD(Données_Planning!I7,60)))</f>
        <v>25</v>
      </c>
      <c r="T9" s="28" t="str">
        <f t="shared" si="6"/>
        <v>s</v>
      </c>
      <c r="U9" s="37">
        <f>(IF(OR(A9="DWF",A9="DNF"),0,QUOTIENT(Données_Planning!K7,60)))</f>
        <v>5</v>
      </c>
      <c r="V9" s="7" t="str">
        <f t="shared" si="7"/>
        <v>min</v>
      </c>
      <c r="W9" s="36">
        <f>(IF(OR(A9="DWF",A9="DNF"),Données_Planning!K7,MOD(Données_Planning!K7,60)))</f>
        <v>25</v>
      </c>
      <c r="X9" s="38" t="str">
        <f t="shared" si="8"/>
        <v>s</v>
      </c>
      <c r="Y9" s="42"/>
    </row>
    <row r="10" spans="1:25" ht="15.75" x14ac:dyDescent="0.25">
      <c r="A10" s="4" t="str">
        <f>Données_Planning!A8</f>
        <v>sta</v>
      </c>
      <c r="B10" s="6">
        <f>Données_Planning!B8</f>
        <v>2</v>
      </c>
      <c r="C10" s="28">
        <f>Données_Planning!C8</f>
        <v>3</v>
      </c>
      <c r="D10" s="50">
        <f t="shared" si="0"/>
        <v>0.4145833333333333</v>
      </c>
      <c r="E10" s="51">
        <f t="shared" si="1"/>
        <v>0.43333333333333329</v>
      </c>
      <c r="F10" s="52">
        <f t="shared" si="2"/>
        <v>0.43402777777777773</v>
      </c>
      <c r="G10" s="47">
        <f>Données_Planning!L8</f>
        <v>0.43541666666666662</v>
      </c>
      <c r="H10" s="18" t="str">
        <f>Données_Planning!H8</f>
        <v>CYRNEA</v>
      </c>
      <c r="I10" s="5">
        <f>Données_Planning!D8</f>
        <v>10</v>
      </c>
      <c r="J10" s="22" t="str">
        <f>Données_Planning!F8</f>
        <v>ROUX</v>
      </c>
      <c r="K10" s="22" t="str">
        <f>Données_Planning!E8</f>
        <v>Benoît</v>
      </c>
      <c r="L10" s="35" t="str">
        <f>Données_Planning!G8</f>
        <v>H</v>
      </c>
      <c r="M10" s="37">
        <f>(IF(OR(A10="DWF",A10="DNF"),0,QUOTIENT(Données_Planning!J8,60)))</f>
        <v>3</v>
      </c>
      <c r="N10" s="7" t="str">
        <f t="shared" si="3"/>
        <v>min</v>
      </c>
      <c r="O10" s="36">
        <f>(IF(OR(A10="DWF",A10="DNF"),Données_Planning!J8,MOD(Données_Planning!J8,60)))</f>
        <v>30</v>
      </c>
      <c r="P10" s="28" t="str">
        <f t="shared" si="4"/>
        <v>s</v>
      </c>
      <c r="Q10" s="37">
        <f>(IF(OR(A10="DWF",A10="DNF"),0,QUOTIENT(Données_Planning!I8,60)))</f>
        <v>4</v>
      </c>
      <c r="R10" s="7" t="str">
        <f t="shared" si="5"/>
        <v>min</v>
      </c>
      <c r="S10" s="36">
        <f>(IF(OR(A10="DWF",A10="DNF"),Données_Planning!I8,MOD(Données_Planning!I8,60)))</f>
        <v>30</v>
      </c>
      <c r="T10" s="28" t="str">
        <f t="shared" si="6"/>
        <v>s</v>
      </c>
      <c r="U10" s="37">
        <f>(IF(OR(A10="DWF",A10="DNF"),0,QUOTIENT(Données_Planning!K8,60)))</f>
        <v>5</v>
      </c>
      <c r="V10" s="7" t="str">
        <f t="shared" si="7"/>
        <v>min</v>
      </c>
      <c r="W10" s="36">
        <f>(IF(OR(A10="DWF",A10="DNF"),Données_Planning!K8,MOD(Données_Planning!K8,60)))</f>
        <v>30</v>
      </c>
      <c r="X10" s="38" t="str">
        <f t="shared" si="8"/>
        <v>s</v>
      </c>
      <c r="Y10" s="42"/>
    </row>
    <row r="11" spans="1:25" ht="15.75" x14ac:dyDescent="0.25">
      <c r="A11" s="4" t="str">
        <f>Données_Planning!A9</f>
        <v>sta</v>
      </c>
      <c r="B11" s="6">
        <f>Données_Planning!B9</f>
        <v>2</v>
      </c>
      <c r="C11" s="28">
        <f>Données_Planning!C9</f>
        <v>4</v>
      </c>
      <c r="D11" s="50">
        <f t="shared" si="0"/>
        <v>0.4145833333333333</v>
      </c>
      <c r="E11" s="51">
        <f t="shared" si="1"/>
        <v>0.43333333333333329</v>
      </c>
      <c r="F11" s="52">
        <f t="shared" si="2"/>
        <v>0.43402777777777773</v>
      </c>
      <c r="G11" s="47">
        <f>Données_Planning!L9</f>
        <v>0.43541666666666662</v>
      </c>
      <c r="H11" s="18" t="str">
        <f>Données_Planning!H9</f>
        <v>Enjoy And Relax</v>
      </c>
      <c r="I11" s="5">
        <f>Données_Planning!D9</f>
        <v>15</v>
      </c>
      <c r="J11" s="22" t="str">
        <f>Données_Planning!F9</f>
        <v>DELICOURT</v>
      </c>
      <c r="K11" s="22" t="str">
        <f>Données_Planning!E9</f>
        <v>Stephanie</v>
      </c>
      <c r="L11" s="35" t="str">
        <f>Données_Planning!G9</f>
        <v>F</v>
      </c>
      <c r="M11" s="37">
        <f>(IF(OR(A11="DWF",A11="DNF"),0,QUOTIENT(Données_Planning!J9,60)))</f>
        <v>3</v>
      </c>
      <c r="N11" s="7" t="str">
        <f t="shared" si="3"/>
        <v>min</v>
      </c>
      <c r="O11" s="36">
        <f>(IF(OR(A11="DWF",A11="DNF"),Données_Planning!J9,MOD(Données_Planning!J9,60)))</f>
        <v>30</v>
      </c>
      <c r="P11" s="28" t="str">
        <f t="shared" si="4"/>
        <v>s</v>
      </c>
      <c r="Q11" s="37">
        <f>(IF(OR(A11="DWF",A11="DNF"),0,QUOTIENT(Données_Planning!I9,60)))</f>
        <v>4</v>
      </c>
      <c r="R11" s="7" t="str">
        <f t="shared" si="5"/>
        <v>min</v>
      </c>
      <c r="S11" s="36">
        <f>(IF(OR(A11="DWF",A11="DNF"),Données_Planning!I9,MOD(Données_Planning!I9,60)))</f>
        <v>30</v>
      </c>
      <c r="T11" s="28" t="str">
        <f t="shared" si="6"/>
        <v>s</v>
      </c>
      <c r="U11" s="37">
        <f>(IF(OR(A11="DWF",A11="DNF"),0,QUOTIENT(Données_Planning!K9,60)))</f>
        <v>5</v>
      </c>
      <c r="V11" s="7" t="str">
        <f t="shared" si="7"/>
        <v>min</v>
      </c>
      <c r="W11" s="36">
        <f>(IF(OR(A11="DWF",A11="DNF"),Données_Planning!K9,MOD(Données_Planning!K9,60)))</f>
        <v>30</v>
      </c>
      <c r="X11" s="38" t="str">
        <f t="shared" si="8"/>
        <v>s</v>
      </c>
      <c r="Y11" s="42"/>
    </row>
    <row r="12" spans="1:25" ht="15.75" x14ac:dyDescent="0.25">
      <c r="A12" s="4" t="str">
        <f>Données_Planning!A10</f>
        <v>sta</v>
      </c>
      <c r="B12" s="6">
        <f>Données_Planning!B10</f>
        <v>3</v>
      </c>
      <c r="C12" s="28">
        <f>Données_Planning!C10</f>
        <v>1</v>
      </c>
      <c r="D12" s="50">
        <f t="shared" si="0"/>
        <v>0.42291666666666672</v>
      </c>
      <c r="E12" s="51">
        <f t="shared" si="1"/>
        <v>0.44166666666666671</v>
      </c>
      <c r="F12" s="52">
        <f t="shared" si="2"/>
        <v>0.44236111111111115</v>
      </c>
      <c r="G12" s="47">
        <f>Données_Planning!L10</f>
        <v>0.44375000000000003</v>
      </c>
      <c r="H12" s="18" t="str">
        <f>Données_Planning!H10</f>
        <v>Les Cormorans 2</v>
      </c>
      <c r="I12" s="5">
        <f>Données_Planning!D10</f>
        <v>29</v>
      </c>
      <c r="J12" s="22" t="str">
        <f>Données_Planning!F10</f>
        <v>HERENT</v>
      </c>
      <c r="K12" s="22" t="str">
        <f>Données_Planning!E10</f>
        <v>Xavier</v>
      </c>
      <c r="L12" s="35" t="str">
        <f>Données_Planning!G10</f>
        <v>H</v>
      </c>
      <c r="M12" s="37">
        <f>(IF(OR(A12="DWF",A12="DNF"),0,QUOTIENT(Données_Planning!J10,60)))</f>
        <v>3</v>
      </c>
      <c r="N12" s="7" t="str">
        <f t="shared" si="3"/>
        <v>min</v>
      </c>
      <c r="O12" s="36">
        <f>(IF(OR(A12="DWF",A12="DNF"),Données_Planning!J10,MOD(Données_Planning!J10,60)))</f>
        <v>30</v>
      </c>
      <c r="P12" s="28" t="str">
        <f t="shared" si="4"/>
        <v>s</v>
      </c>
      <c r="Q12" s="37">
        <f>(IF(OR(A12="DWF",A12="DNF"),0,QUOTIENT(Données_Planning!I10,60)))</f>
        <v>4</v>
      </c>
      <c r="R12" s="7" t="str">
        <f t="shared" si="5"/>
        <v>min</v>
      </c>
      <c r="S12" s="36">
        <f>(IF(OR(A12="DWF",A12="DNF"),Données_Planning!I10,MOD(Données_Planning!I10,60)))</f>
        <v>30</v>
      </c>
      <c r="T12" s="28" t="str">
        <f t="shared" si="6"/>
        <v>s</v>
      </c>
      <c r="U12" s="37">
        <f>(IF(OR(A12="DWF",A12="DNF"),0,QUOTIENT(Données_Planning!K10,60)))</f>
        <v>5</v>
      </c>
      <c r="V12" s="7" t="str">
        <f t="shared" si="7"/>
        <v>min</v>
      </c>
      <c r="W12" s="36">
        <f>(IF(OR(A12="DWF",A12="DNF"),Données_Planning!K10,MOD(Données_Planning!K10,60)))</f>
        <v>30</v>
      </c>
      <c r="X12" s="38" t="str">
        <f t="shared" si="8"/>
        <v>s</v>
      </c>
      <c r="Y12" s="42"/>
    </row>
    <row r="13" spans="1:25" ht="15.75" x14ac:dyDescent="0.25">
      <c r="A13" s="4" t="str">
        <f>Données_Planning!A11</f>
        <v>sta</v>
      </c>
      <c r="B13" s="6">
        <f>Données_Planning!B11</f>
        <v>3</v>
      </c>
      <c r="C13" s="28">
        <f>Données_Planning!C11</f>
        <v>2</v>
      </c>
      <c r="D13" s="50">
        <f t="shared" si="0"/>
        <v>0.42291666666666672</v>
      </c>
      <c r="E13" s="51">
        <f t="shared" si="1"/>
        <v>0.44166666666666671</v>
      </c>
      <c r="F13" s="52">
        <f t="shared" si="2"/>
        <v>0.44236111111111115</v>
      </c>
      <c r="G13" s="47">
        <f>Données_Planning!L11</f>
        <v>0.44375000000000003</v>
      </c>
      <c r="H13" s="18" t="str">
        <f>Données_Planning!H11</f>
        <v>Sportpleizh</v>
      </c>
      <c r="I13" s="5">
        <f>Données_Planning!D11</f>
        <v>46</v>
      </c>
      <c r="J13" s="22" t="str">
        <f>Données_Planning!F11</f>
        <v>MARIE</v>
      </c>
      <c r="K13" s="22" t="str">
        <f>Données_Planning!E11</f>
        <v>coralie</v>
      </c>
      <c r="L13" s="35" t="str">
        <f>Données_Planning!G11</f>
        <v>F</v>
      </c>
      <c r="M13" s="37">
        <f>(IF(OR(A13="DWF",A13="DNF"),0,QUOTIENT(Données_Planning!J11,60)))</f>
        <v>3</v>
      </c>
      <c r="N13" s="7" t="str">
        <f t="shared" si="3"/>
        <v>min</v>
      </c>
      <c r="O13" s="36">
        <f>(IF(OR(A13="DWF",A13="DNF"),Données_Planning!J11,MOD(Données_Planning!J11,60)))</f>
        <v>45</v>
      </c>
      <c r="P13" s="28" t="str">
        <f t="shared" si="4"/>
        <v>s</v>
      </c>
      <c r="Q13" s="37">
        <f>(IF(OR(A13="DWF",A13="DNF"),0,QUOTIENT(Données_Planning!I11,60)))</f>
        <v>4</v>
      </c>
      <c r="R13" s="7" t="str">
        <f t="shared" si="5"/>
        <v>min</v>
      </c>
      <c r="S13" s="36">
        <f>(IF(OR(A13="DWF",A13="DNF"),Données_Planning!I11,MOD(Données_Planning!I11,60)))</f>
        <v>45</v>
      </c>
      <c r="T13" s="28" t="str">
        <f t="shared" si="6"/>
        <v>s</v>
      </c>
      <c r="U13" s="37">
        <f>(IF(OR(A13="DWF",A13="DNF"),0,QUOTIENT(Données_Planning!K11,60)))</f>
        <v>5</v>
      </c>
      <c r="V13" s="7" t="str">
        <f t="shared" si="7"/>
        <v>min</v>
      </c>
      <c r="W13" s="36">
        <f>(IF(OR(A13="DWF",A13="DNF"),Données_Planning!K11,MOD(Données_Planning!K11,60)))</f>
        <v>45</v>
      </c>
      <c r="X13" s="38" t="str">
        <f t="shared" si="8"/>
        <v>s</v>
      </c>
      <c r="Y13" s="42"/>
    </row>
    <row r="14" spans="1:25" ht="15.75" x14ac:dyDescent="0.25">
      <c r="A14" s="4" t="str">
        <f>Données_Planning!A12</f>
        <v>sta</v>
      </c>
      <c r="B14" s="6">
        <f>Données_Planning!B12</f>
        <v>3</v>
      </c>
      <c r="C14" s="28">
        <f>Données_Planning!C12</f>
        <v>3</v>
      </c>
      <c r="D14" s="50">
        <f t="shared" si="0"/>
        <v>0.42291666666666672</v>
      </c>
      <c r="E14" s="51">
        <f t="shared" si="1"/>
        <v>0.44166666666666671</v>
      </c>
      <c r="F14" s="52">
        <f t="shared" si="2"/>
        <v>0.44236111111111115</v>
      </c>
      <c r="G14" s="47">
        <f>Données_Planning!L12</f>
        <v>0.44375000000000003</v>
      </c>
      <c r="H14" s="18" t="str">
        <f>Données_Planning!H12</f>
        <v>Imashi</v>
      </c>
      <c r="I14" s="5">
        <f>Données_Planning!D12</f>
        <v>19</v>
      </c>
      <c r="J14" s="22" t="str">
        <f>Données_Planning!F12</f>
        <v>TISSOT</v>
      </c>
      <c r="K14" s="22" t="str">
        <f>Données_Planning!E12</f>
        <v>Charles</v>
      </c>
      <c r="L14" s="35" t="str">
        <f>Données_Planning!G12</f>
        <v>H</v>
      </c>
      <c r="M14" s="37">
        <f>(IF(OR(A14="DWF",A14="DNF"),0,QUOTIENT(Données_Planning!J12,60)))</f>
        <v>4</v>
      </c>
      <c r="N14" s="7" t="str">
        <f t="shared" si="3"/>
        <v>min</v>
      </c>
      <c r="O14" s="36">
        <f>(IF(OR(A14="DWF",A14="DNF"),Données_Planning!J12,MOD(Données_Planning!J12,60)))</f>
        <v>0</v>
      </c>
      <c r="P14" s="28" t="str">
        <f t="shared" si="4"/>
        <v>s</v>
      </c>
      <c r="Q14" s="37">
        <f>(IF(OR(A14="DWF",A14="DNF"),0,QUOTIENT(Données_Planning!I12,60)))</f>
        <v>5</v>
      </c>
      <c r="R14" s="7" t="str">
        <f t="shared" si="5"/>
        <v>min</v>
      </c>
      <c r="S14" s="36">
        <f>(IF(OR(A14="DWF",A14="DNF"),Données_Planning!I12,MOD(Données_Planning!I12,60)))</f>
        <v>0</v>
      </c>
      <c r="T14" s="28" t="str">
        <f t="shared" si="6"/>
        <v>s</v>
      </c>
      <c r="U14" s="37">
        <f>(IF(OR(A14="DWF",A14="DNF"),0,QUOTIENT(Données_Planning!K12,60)))</f>
        <v>6</v>
      </c>
      <c r="V14" s="7" t="str">
        <f t="shared" si="7"/>
        <v>min</v>
      </c>
      <c r="W14" s="36">
        <f>(IF(OR(A14="DWF",A14="DNF"),Données_Planning!K12,MOD(Données_Planning!K12,60)))</f>
        <v>0</v>
      </c>
      <c r="X14" s="38" t="str">
        <f t="shared" si="8"/>
        <v>s</v>
      </c>
      <c r="Y14" s="42"/>
    </row>
    <row r="15" spans="1:25" ht="15.75" x14ac:dyDescent="0.25">
      <c r="A15" s="4" t="str">
        <f>Données_Planning!A13</f>
        <v>sta</v>
      </c>
      <c r="B15" s="6">
        <f>Données_Planning!B13</f>
        <v>3</v>
      </c>
      <c r="C15" s="28">
        <f>Données_Planning!C13</f>
        <v>4</v>
      </c>
      <c r="D15" s="50">
        <f t="shared" si="0"/>
        <v>0.42291666666666672</v>
      </c>
      <c r="E15" s="51">
        <f t="shared" si="1"/>
        <v>0.44166666666666671</v>
      </c>
      <c r="F15" s="52">
        <f t="shared" si="2"/>
        <v>0.44236111111111115</v>
      </c>
      <c r="G15" s="47">
        <f>Données_Planning!L13</f>
        <v>0.44375000000000003</v>
      </c>
      <c r="H15" s="18" t="str">
        <f>Données_Planning!H13</f>
        <v>LIMULES</v>
      </c>
      <c r="I15" s="5">
        <f>Données_Planning!D13</f>
        <v>31</v>
      </c>
      <c r="J15" s="22" t="str">
        <f>Données_Planning!F13</f>
        <v>DURET</v>
      </c>
      <c r="K15" s="22" t="str">
        <f>Données_Planning!E13</f>
        <v>Olivier</v>
      </c>
      <c r="L15" s="35" t="str">
        <f>Données_Planning!G13</f>
        <v>H</v>
      </c>
      <c r="M15" s="37">
        <f>(IF(OR(A15="DWF",A15="DNF"),0,QUOTIENT(Données_Planning!J13,60)))</f>
        <v>4</v>
      </c>
      <c r="N15" s="7" t="str">
        <f t="shared" si="3"/>
        <v>min</v>
      </c>
      <c r="O15" s="36">
        <f>(IF(OR(A15="DWF",A15="DNF"),Données_Planning!J13,MOD(Données_Planning!J13,60)))</f>
        <v>0</v>
      </c>
      <c r="P15" s="28" t="str">
        <f t="shared" si="4"/>
        <v>s</v>
      </c>
      <c r="Q15" s="37">
        <f>(IF(OR(A15="DWF",A15="DNF"),0,QUOTIENT(Données_Planning!I13,60)))</f>
        <v>5</v>
      </c>
      <c r="R15" s="7" t="str">
        <f t="shared" si="5"/>
        <v>min</v>
      </c>
      <c r="S15" s="36">
        <f>(IF(OR(A15="DWF",A15="DNF"),Données_Planning!I13,MOD(Données_Planning!I13,60)))</f>
        <v>0</v>
      </c>
      <c r="T15" s="28" t="str">
        <f t="shared" si="6"/>
        <v>s</v>
      </c>
      <c r="U15" s="37">
        <f>(IF(OR(A15="DWF",A15="DNF"),0,QUOTIENT(Données_Planning!K13,60)))</f>
        <v>6</v>
      </c>
      <c r="V15" s="7" t="str">
        <f t="shared" si="7"/>
        <v>min</v>
      </c>
      <c r="W15" s="36">
        <f>(IF(OR(A15="DWF",A15="DNF"),Données_Planning!K13,MOD(Données_Planning!K13,60)))</f>
        <v>0</v>
      </c>
      <c r="X15" s="38" t="str">
        <f t="shared" si="8"/>
        <v>s</v>
      </c>
      <c r="Y15" s="42"/>
    </row>
    <row r="16" spans="1:25" ht="15.75" x14ac:dyDescent="0.25">
      <c r="A16" s="4" t="str">
        <f>Données_Planning!A14</f>
        <v>sta</v>
      </c>
      <c r="B16" s="6">
        <f>Données_Planning!B14</f>
        <v>4</v>
      </c>
      <c r="C16" s="28">
        <f>Données_Planning!C14</f>
        <v>1</v>
      </c>
      <c r="D16" s="50">
        <f t="shared" si="0"/>
        <v>0.43125000000000002</v>
      </c>
      <c r="E16" s="51">
        <f t="shared" si="1"/>
        <v>0.45</v>
      </c>
      <c r="F16" s="52">
        <f t="shared" si="2"/>
        <v>0.45069444444444445</v>
      </c>
      <c r="G16" s="47">
        <f>Données_Planning!L14</f>
        <v>0.45208333333333334</v>
      </c>
      <c r="H16" s="18" t="str">
        <f>Données_Planning!H14</f>
        <v>CYRNEA</v>
      </c>
      <c r="I16" s="5">
        <f>Données_Planning!D14</f>
        <v>7</v>
      </c>
      <c r="J16" s="22" t="str">
        <f>Données_Planning!F14</f>
        <v>BORGAT</v>
      </c>
      <c r="K16" s="22" t="str">
        <f>Données_Planning!E14</f>
        <v>Anne</v>
      </c>
      <c r="L16" s="35" t="str">
        <f>Données_Planning!G14</f>
        <v>F</v>
      </c>
      <c r="M16" s="37">
        <f>(IF(OR(A16="DWF",A16="DNF"),0,QUOTIENT(Données_Planning!J14,60)))</f>
        <v>4</v>
      </c>
      <c r="N16" s="7" t="str">
        <f t="shared" si="3"/>
        <v>min</v>
      </c>
      <c r="O16" s="36">
        <f>(IF(OR(A16="DWF",A16="DNF"),Données_Planning!J14,MOD(Données_Planning!J14,60)))</f>
        <v>0</v>
      </c>
      <c r="P16" s="28" t="str">
        <f t="shared" si="4"/>
        <v>s</v>
      </c>
      <c r="Q16" s="37">
        <f>(IF(OR(A16="DWF",A16="DNF"),0,QUOTIENT(Données_Planning!I14,60)))</f>
        <v>5</v>
      </c>
      <c r="R16" s="7" t="str">
        <f t="shared" si="5"/>
        <v>min</v>
      </c>
      <c r="S16" s="36">
        <f>(IF(OR(A16="DWF",A16="DNF"),Données_Planning!I14,MOD(Données_Planning!I14,60)))</f>
        <v>0</v>
      </c>
      <c r="T16" s="28" t="str">
        <f t="shared" si="6"/>
        <v>s</v>
      </c>
      <c r="U16" s="37">
        <f>(IF(OR(A16="DWF",A16="DNF"),0,QUOTIENT(Données_Planning!K14,60)))</f>
        <v>6</v>
      </c>
      <c r="V16" s="7" t="str">
        <f t="shared" si="7"/>
        <v>min</v>
      </c>
      <c r="W16" s="36">
        <f>(IF(OR(A16="DWF",A16="DNF"),Données_Planning!K14,MOD(Données_Planning!K14,60)))</f>
        <v>0</v>
      </c>
      <c r="X16" s="38" t="str">
        <f t="shared" si="8"/>
        <v>s</v>
      </c>
      <c r="Y16" s="42"/>
    </row>
    <row r="17" spans="1:25" ht="15.75" x14ac:dyDescent="0.25">
      <c r="A17" s="4" t="str">
        <f>Données_Planning!A15</f>
        <v>sta</v>
      </c>
      <c r="B17" s="6">
        <f>Données_Planning!B15</f>
        <v>4</v>
      </c>
      <c r="C17" s="28">
        <f>Données_Planning!C15</f>
        <v>2</v>
      </c>
      <c r="D17" s="50">
        <f t="shared" si="0"/>
        <v>0.43125000000000002</v>
      </c>
      <c r="E17" s="51">
        <f t="shared" si="1"/>
        <v>0.45</v>
      </c>
      <c r="F17" s="52">
        <f t="shared" si="2"/>
        <v>0.45069444444444445</v>
      </c>
      <c r="G17" s="47">
        <f>Données_Planning!L15</f>
        <v>0.45208333333333334</v>
      </c>
      <c r="H17" s="18" t="str">
        <f>Données_Planning!H15</f>
        <v>SavoyOuBien?</v>
      </c>
      <c r="I17" s="5">
        <f>Données_Planning!D15</f>
        <v>38</v>
      </c>
      <c r="J17" s="22" t="str">
        <f>Données_Planning!F15</f>
        <v>GUILLOUX</v>
      </c>
      <c r="K17" s="22" t="str">
        <f>Données_Planning!E15</f>
        <v>Philippe</v>
      </c>
      <c r="L17" s="35" t="str">
        <f>Données_Planning!G15</f>
        <v>H</v>
      </c>
      <c r="M17" s="37">
        <f>(IF(OR(A17="DWF",A17="DNF"),0,QUOTIENT(Données_Planning!J15,60)))</f>
        <v>4</v>
      </c>
      <c r="N17" s="7" t="str">
        <f t="shared" si="3"/>
        <v>min</v>
      </c>
      <c r="O17" s="36">
        <f>(IF(OR(A17="DWF",A17="DNF"),Données_Planning!J15,MOD(Données_Planning!J15,60)))</f>
        <v>30</v>
      </c>
      <c r="P17" s="28" t="str">
        <f t="shared" si="4"/>
        <v>s</v>
      </c>
      <c r="Q17" s="37">
        <f>(IF(OR(A17="DWF",A17="DNF"),0,QUOTIENT(Données_Planning!I15,60)))</f>
        <v>5</v>
      </c>
      <c r="R17" s="7" t="str">
        <f t="shared" si="5"/>
        <v>min</v>
      </c>
      <c r="S17" s="36">
        <f>(IF(OR(A17="DWF",A17="DNF"),Données_Planning!I15,MOD(Données_Planning!I15,60)))</f>
        <v>30</v>
      </c>
      <c r="T17" s="28" t="str">
        <f t="shared" si="6"/>
        <v>s</v>
      </c>
      <c r="U17" s="37">
        <f>(IF(OR(A17="DWF",A17="DNF"),0,QUOTIENT(Données_Planning!K15,60)))</f>
        <v>6</v>
      </c>
      <c r="V17" s="7" t="str">
        <f t="shared" si="7"/>
        <v>min</v>
      </c>
      <c r="W17" s="36">
        <f>(IF(OR(A17="DWF",A17="DNF"),Données_Planning!K15,MOD(Données_Planning!K15,60)))</f>
        <v>30</v>
      </c>
      <c r="X17" s="38" t="str">
        <f t="shared" si="8"/>
        <v>s</v>
      </c>
      <c r="Y17" s="42"/>
    </row>
    <row r="18" spans="1:25" ht="15.75" x14ac:dyDescent="0.25">
      <c r="A18" s="4" t="str">
        <f>Données_Planning!A16</f>
        <v>sta</v>
      </c>
      <c r="B18" s="6">
        <f>Données_Planning!B16</f>
        <v>4</v>
      </c>
      <c r="C18" s="28">
        <f>Données_Planning!C16</f>
        <v>3</v>
      </c>
      <c r="D18" s="50">
        <f t="shared" si="0"/>
        <v>0.43125000000000002</v>
      </c>
      <c r="E18" s="51">
        <f t="shared" si="1"/>
        <v>0.45</v>
      </c>
      <c r="F18" s="52">
        <f t="shared" si="2"/>
        <v>0.45069444444444445</v>
      </c>
      <c r="G18" s="47">
        <f>Données_Planning!L16</f>
        <v>0.45208333333333334</v>
      </c>
      <c r="H18" s="18" t="str">
        <f>Données_Planning!H16</f>
        <v>Imashi</v>
      </c>
      <c r="I18" s="5">
        <f>Données_Planning!D16</f>
        <v>20</v>
      </c>
      <c r="J18" s="22" t="str">
        <f>Données_Planning!F16</f>
        <v>JAUFFRAUD</v>
      </c>
      <c r="K18" s="22" t="str">
        <f>Données_Planning!E16</f>
        <v>Richard</v>
      </c>
      <c r="L18" s="35" t="str">
        <f>Données_Planning!G16</f>
        <v>H</v>
      </c>
      <c r="M18" s="37">
        <f>(IF(OR(A18="DWF",A18="DNF"),0,QUOTIENT(Données_Planning!J16,60)))</f>
        <v>4</v>
      </c>
      <c r="N18" s="7" t="str">
        <f t="shared" si="3"/>
        <v>min</v>
      </c>
      <c r="O18" s="36">
        <f>(IF(OR(A18="DWF",A18="DNF"),Données_Planning!J16,MOD(Données_Planning!J16,60)))</f>
        <v>45</v>
      </c>
      <c r="P18" s="28" t="str">
        <f t="shared" si="4"/>
        <v>s</v>
      </c>
      <c r="Q18" s="37">
        <f>(IF(OR(A18="DWF",A18="DNF"),0,QUOTIENT(Données_Planning!I16,60)))</f>
        <v>5</v>
      </c>
      <c r="R18" s="7" t="str">
        <f t="shared" si="5"/>
        <v>min</v>
      </c>
      <c r="S18" s="36">
        <f>(IF(OR(A18="DWF",A18="DNF"),Données_Planning!I16,MOD(Données_Planning!I16,60)))</f>
        <v>45</v>
      </c>
      <c r="T18" s="28" t="str">
        <f t="shared" si="6"/>
        <v>s</v>
      </c>
      <c r="U18" s="37">
        <f>(IF(OR(A18="DWF",A18="DNF"),0,QUOTIENT(Données_Planning!K16,60)))</f>
        <v>6</v>
      </c>
      <c r="V18" s="7" t="str">
        <f t="shared" si="7"/>
        <v>min</v>
      </c>
      <c r="W18" s="36">
        <f>(IF(OR(A18="DWF",A18="DNF"),Données_Planning!K16,MOD(Données_Planning!K16,60)))</f>
        <v>45</v>
      </c>
      <c r="X18" s="38" t="str">
        <f t="shared" si="8"/>
        <v>s</v>
      </c>
      <c r="Y18" s="42"/>
    </row>
    <row r="19" spans="1:25" ht="15.75" x14ac:dyDescent="0.25">
      <c r="A19" s="4" t="str">
        <f>Données_Planning!A17</f>
        <v>sta</v>
      </c>
      <c r="B19" s="6">
        <f>Données_Planning!B17</f>
        <v>4</v>
      </c>
      <c r="C19" s="28">
        <f>Données_Planning!C17</f>
        <v>4</v>
      </c>
      <c r="D19" s="50">
        <f t="shared" si="0"/>
        <v>0.43125000000000002</v>
      </c>
      <c r="E19" s="51">
        <f t="shared" si="1"/>
        <v>0.45</v>
      </c>
      <c r="F19" s="52">
        <f t="shared" si="2"/>
        <v>0.45069444444444445</v>
      </c>
      <c r="G19" s="47">
        <f>Données_Planning!L17</f>
        <v>0.45208333333333334</v>
      </c>
      <c r="H19" s="18" t="str">
        <f>Données_Planning!H17</f>
        <v>SavoyOuBien?</v>
      </c>
      <c r="I19" s="5">
        <f>Données_Planning!D17</f>
        <v>37</v>
      </c>
      <c r="J19" s="22" t="str">
        <f>Données_Planning!F17</f>
        <v>LANOISELIER</v>
      </c>
      <c r="K19" s="22" t="str">
        <f>Données_Planning!E17</f>
        <v>Aurélien</v>
      </c>
      <c r="L19" s="35" t="str">
        <f>Données_Planning!G17</f>
        <v>H</v>
      </c>
      <c r="M19" s="37">
        <f>(IF(OR(A19="DWF",A19="DNF"),0,QUOTIENT(Données_Planning!J17,60)))</f>
        <v>5</v>
      </c>
      <c r="N19" s="7" t="str">
        <f t="shared" si="3"/>
        <v>min</v>
      </c>
      <c r="O19" s="36">
        <f>(IF(OR(A19="DWF",A19="DNF"),Données_Planning!J17,MOD(Données_Planning!J17,60)))</f>
        <v>0</v>
      </c>
      <c r="P19" s="28" t="str">
        <f t="shared" si="4"/>
        <v>s</v>
      </c>
      <c r="Q19" s="37">
        <f>(IF(OR(A19="DWF",A19="DNF"),0,QUOTIENT(Données_Planning!I17,60)))</f>
        <v>6</v>
      </c>
      <c r="R19" s="7" t="str">
        <f t="shared" si="5"/>
        <v>min</v>
      </c>
      <c r="S19" s="36">
        <f>(IF(OR(A19="DWF",A19="DNF"),Données_Planning!I17,MOD(Données_Planning!I17,60)))</f>
        <v>0</v>
      </c>
      <c r="T19" s="28" t="str">
        <f t="shared" si="6"/>
        <v>s</v>
      </c>
      <c r="U19" s="37">
        <f>(IF(OR(A19="DWF",A19="DNF"),0,QUOTIENT(Données_Planning!K17,60)))</f>
        <v>7</v>
      </c>
      <c r="V19" s="7" t="str">
        <f t="shared" si="7"/>
        <v>min</v>
      </c>
      <c r="W19" s="36">
        <f>(IF(OR(A19="DWF",A19="DNF"),Données_Planning!K17,MOD(Données_Planning!K17,60)))</f>
        <v>0</v>
      </c>
      <c r="X19" s="38" t="str">
        <f t="shared" si="8"/>
        <v>s</v>
      </c>
      <c r="Y19" s="42"/>
    </row>
    <row r="20" spans="1:25" ht="15.75" x14ac:dyDescent="0.25">
      <c r="A20" s="4" t="str">
        <f>Données_Planning!A18</f>
        <v>sta</v>
      </c>
      <c r="B20" s="6">
        <f>Données_Planning!B18</f>
        <v>5</v>
      </c>
      <c r="C20" s="28">
        <f>Données_Planning!C18</f>
        <v>1</v>
      </c>
      <c r="D20" s="50">
        <f t="shared" si="0"/>
        <v>0.43958333333333338</v>
      </c>
      <c r="E20" s="51">
        <f t="shared" si="1"/>
        <v>0.45833333333333337</v>
      </c>
      <c r="F20" s="52">
        <f t="shared" si="2"/>
        <v>0.45902777777777781</v>
      </c>
      <c r="G20" s="47">
        <f>Données_Planning!L18</f>
        <v>0.4604166666666667</v>
      </c>
      <c r="H20" s="18" t="str">
        <f>Données_Planning!H18</f>
        <v>Apneaman, Praha, Czech Republic</v>
      </c>
      <c r="I20" s="5">
        <f>Données_Planning!D18</f>
        <v>4</v>
      </c>
      <c r="J20" s="22" t="str">
        <f>Données_Planning!F18</f>
        <v>SURANSKA</v>
      </c>
      <c r="K20" s="22" t="str">
        <f>Données_Planning!E18</f>
        <v>Katerina</v>
      </c>
      <c r="L20" s="35" t="str">
        <f>Données_Planning!G18</f>
        <v>F</v>
      </c>
      <c r="M20" s="37">
        <f>(IF(OR(A20="DWF",A20="DNF"),0,QUOTIENT(Données_Planning!J18,60)))</f>
        <v>5</v>
      </c>
      <c r="N20" s="7" t="str">
        <f t="shared" si="3"/>
        <v>min</v>
      </c>
      <c r="O20" s="36">
        <f>(IF(OR(A20="DWF",A20="DNF"),Données_Planning!J18,MOD(Données_Planning!J18,60)))</f>
        <v>0</v>
      </c>
      <c r="P20" s="28" t="str">
        <f t="shared" si="4"/>
        <v>s</v>
      </c>
      <c r="Q20" s="37">
        <f>(IF(OR(A20="DWF",A20="DNF"),0,QUOTIENT(Données_Planning!I18,60)))</f>
        <v>6</v>
      </c>
      <c r="R20" s="7" t="str">
        <f t="shared" si="5"/>
        <v>min</v>
      </c>
      <c r="S20" s="36">
        <f>(IF(OR(A20="DWF",A20="DNF"),Données_Planning!I18,MOD(Données_Planning!I18,60)))</f>
        <v>0</v>
      </c>
      <c r="T20" s="28" t="str">
        <f t="shared" si="6"/>
        <v>s</v>
      </c>
      <c r="U20" s="37">
        <f>(IF(OR(A20="DWF",A20="DNF"),0,QUOTIENT(Données_Planning!K18,60)))</f>
        <v>7</v>
      </c>
      <c r="V20" s="7" t="str">
        <f t="shared" si="7"/>
        <v>min</v>
      </c>
      <c r="W20" s="36">
        <f>(IF(OR(A20="DWF",A20="DNF"),Données_Planning!K18,MOD(Données_Planning!K18,60)))</f>
        <v>0</v>
      </c>
      <c r="X20" s="38" t="str">
        <f t="shared" si="8"/>
        <v>s</v>
      </c>
      <c r="Y20" s="42"/>
    </row>
    <row r="21" spans="1:25" ht="15.75" x14ac:dyDescent="0.25">
      <c r="A21" s="4" t="str">
        <f>Données_Planning!A19</f>
        <v>sta</v>
      </c>
      <c r="B21" s="6">
        <f>Données_Planning!B19</f>
        <v>5</v>
      </c>
      <c r="C21" s="28">
        <f>Données_Planning!C19</f>
        <v>2</v>
      </c>
      <c r="D21" s="50">
        <f t="shared" si="0"/>
        <v>0.43958333333333338</v>
      </c>
      <c r="E21" s="51">
        <f t="shared" si="1"/>
        <v>0.45833333333333337</v>
      </c>
      <c r="F21" s="52">
        <f t="shared" si="2"/>
        <v>0.45902777777777781</v>
      </c>
      <c r="G21" s="47">
        <f>Données_Planning!L19</f>
        <v>0.4604166666666667</v>
      </c>
      <c r="H21" s="18" t="str">
        <f>Données_Planning!H19</f>
        <v>Apneaman, Praha, Czech Republic</v>
      </c>
      <c r="I21" s="5">
        <f>Données_Planning!D19</f>
        <v>1</v>
      </c>
      <c r="J21" s="22" t="str">
        <f>Données_Planning!F19</f>
        <v>ZAJAC</v>
      </c>
      <c r="K21" s="22" t="str">
        <f>Données_Planning!E19</f>
        <v>Martin</v>
      </c>
      <c r="L21" s="35" t="str">
        <f>Données_Planning!G19</f>
        <v>H</v>
      </c>
      <c r="M21" s="37">
        <f>(IF(OR(A21="DWF",A21="DNF"),0,QUOTIENT(Données_Planning!J19,60)))</f>
        <v>5</v>
      </c>
      <c r="N21" s="7" t="str">
        <f t="shared" si="3"/>
        <v>min</v>
      </c>
      <c r="O21" s="36">
        <f>(IF(OR(A21="DWF",A21="DNF"),Données_Planning!J19,MOD(Données_Planning!J19,60)))</f>
        <v>15</v>
      </c>
      <c r="P21" s="28" t="str">
        <f t="shared" si="4"/>
        <v>s</v>
      </c>
      <c r="Q21" s="37">
        <f>(IF(OR(A21="DWF",A21="DNF"),0,QUOTIENT(Données_Planning!I19,60)))</f>
        <v>6</v>
      </c>
      <c r="R21" s="7" t="str">
        <f t="shared" si="5"/>
        <v>min</v>
      </c>
      <c r="S21" s="36">
        <f>(IF(OR(A21="DWF",A21="DNF"),Données_Planning!I19,MOD(Données_Planning!I19,60)))</f>
        <v>15</v>
      </c>
      <c r="T21" s="28" t="str">
        <f t="shared" si="6"/>
        <v>s</v>
      </c>
      <c r="U21" s="37">
        <f>(IF(OR(A21="DWF",A21="DNF"),0,QUOTIENT(Données_Planning!K19,60)))</f>
        <v>7</v>
      </c>
      <c r="V21" s="7" t="str">
        <f t="shared" si="7"/>
        <v>min</v>
      </c>
      <c r="W21" s="36">
        <f>(IF(OR(A21="DWF",A21="DNF"),Données_Planning!K19,MOD(Données_Planning!K19,60)))</f>
        <v>15</v>
      </c>
      <c r="X21" s="38" t="str">
        <f t="shared" si="8"/>
        <v>s</v>
      </c>
      <c r="Y21" s="42"/>
    </row>
    <row r="22" spans="1:25" ht="15.75" x14ac:dyDescent="0.25">
      <c r="A22" s="4" t="str">
        <f>Données_Planning!A20</f>
        <v>sta</v>
      </c>
      <c r="B22" s="6">
        <f>Données_Planning!B20</f>
        <v>5</v>
      </c>
      <c r="C22" s="28">
        <f>Données_Planning!C20</f>
        <v>3</v>
      </c>
      <c r="D22" s="50">
        <f t="shared" si="0"/>
        <v>0.43958333333333338</v>
      </c>
      <c r="E22" s="51">
        <f t="shared" si="1"/>
        <v>0.45833333333333337</v>
      </c>
      <c r="F22" s="52">
        <f t="shared" si="2"/>
        <v>0.45902777777777781</v>
      </c>
      <c r="G22" s="47">
        <f>Données_Planning!L20</f>
        <v>0.4604166666666667</v>
      </c>
      <c r="H22" s="18" t="str">
        <f>Données_Planning!H20</f>
        <v>Sportpleizh</v>
      </c>
      <c r="I22" s="5">
        <f>Données_Planning!D20</f>
        <v>42</v>
      </c>
      <c r="J22" s="22" t="str">
        <f>Données_Planning!F20</f>
        <v>VOGLER</v>
      </c>
      <c r="K22" s="22" t="str">
        <f>Données_Planning!E20</f>
        <v>Christian</v>
      </c>
      <c r="L22" s="35" t="str">
        <f>Données_Planning!G20</f>
        <v>H</v>
      </c>
      <c r="M22" s="37">
        <f>(IF(OR(A22="DWF",A22="DNF"),0,QUOTIENT(Données_Planning!J20,60)))</f>
        <v>5</v>
      </c>
      <c r="N22" s="7" t="str">
        <f t="shared" si="3"/>
        <v>min</v>
      </c>
      <c r="O22" s="36">
        <f>(IF(OR(A22="DWF",A22="DNF"),Données_Planning!J20,MOD(Données_Planning!J20,60)))</f>
        <v>30</v>
      </c>
      <c r="P22" s="28" t="str">
        <f t="shared" si="4"/>
        <v>s</v>
      </c>
      <c r="Q22" s="37">
        <f>(IF(OR(A22="DWF",A22="DNF"),0,QUOTIENT(Données_Planning!I20,60)))</f>
        <v>6</v>
      </c>
      <c r="R22" s="7" t="str">
        <f t="shared" si="5"/>
        <v>min</v>
      </c>
      <c r="S22" s="36">
        <f>(IF(OR(A22="DWF",A22="DNF"),Données_Planning!I20,MOD(Données_Planning!I20,60)))</f>
        <v>30</v>
      </c>
      <c r="T22" s="28" t="str">
        <f t="shared" si="6"/>
        <v>s</v>
      </c>
      <c r="U22" s="37">
        <f>(IF(OR(A22="DWF",A22="DNF"),0,QUOTIENT(Données_Planning!K20,60)))</f>
        <v>7</v>
      </c>
      <c r="V22" s="7" t="str">
        <f t="shared" si="7"/>
        <v>min</v>
      </c>
      <c r="W22" s="36">
        <f>(IF(OR(A22="DWF",A22="DNF"),Données_Planning!K20,MOD(Données_Planning!K20,60)))</f>
        <v>30</v>
      </c>
      <c r="X22" s="38" t="str">
        <f t="shared" si="8"/>
        <v>s</v>
      </c>
      <c r="Y22" s="42"/>
    </row>
    <row r="23" spans="1:25" ht="15.75" x14ac:dyDescent="0.25">
      <c r="A23" s="4" t="str">
        <f>Données_Planning!A21</f>
        <v>dwf</v>
      </c>
      <c r="B23" s="6">
        <f>Données_Planning!B21</f>
        <v>1</v>
      </c>
      <c r="C23" s="28">
        <f>Données_Planning!C21</f>
        <v>1</v>
      </c>
      <c r="D23" s="50">
        <f t="shared" si="0"/>
        <v>0.4548611111111111</v>
      </c>
      <c r="E23" s="51">
        <f t="shared" si="1"/>
        <v>0.47361111111111109</v>
      </c>
      <c r="F23" s="52">
        <f t="shared" si="2"/>
        <v>0.47430555555555554</v>
      </c>
      <c r="G23" s="47">
        <f>Données_Planning!L21</f>
        <v>0.47569444444444442</v>
      </c>
      <c r="H23" s="18" t="str">
        <f>Données_Planning!H21</f>
        <v>Les Cormorans 2</v>
      </c>
      <c r="I23" s="5">
        <f>Données_Planning!D21</f>
        <v>30</v>
      </c>
      <c r="J23" s="22" t="str">
        <f>Données_Planning!F21</f>
        <v>REIN</v>
      </c>
      <c r="K23" s="22" t="str">
        <f>Données_Planning!E21</f>
        <v>Melissa</v>
      </c>
      <c r="L23" s="35" t="str">
        <f>Données_Planning!G21</f>
        <v>F</v>
      </c>
      <c r="M23" s="37">
        <f>(IF(OR(A23="DWF",A23="DNF"),0,QUOTIENT(Données_Planning!J21,60)))</f>
        <v>0</v>
      </c>
      <c r="N23" s="7">
        <f t="shared" si="3"/>
        <v>0</v>
      </c>
      <c r="O23" s="36">
        <f>(IF(OR(A23="DWF",A23="DNF"),Données_Planning!J21,MOD(Données_Planning!J21,60)))</f>
        <v>50</v>
      </c>
      <c r="P23" s="28" t="str">
        <f t="shared" si="4"/>
        <v>m</v>
      </c>
      <c r="Q23" s="37">
        <f>(IF(OR(A23="DWF",A23="DNF"),0,QUOTIENT(Données_Planning!I21,60)))</f>
        <v>0</v>
      </c>
      <c r="R23" s="7">
        <f t="shared" si="5"/>
        <v>0</v>
      </c>
      <c r="S23" s="36">
        <f>(IF(OR(A23="DWF",A23="DNF"),Données_Planning!I21,MOD(Données_Planning!I21,60)))</f>
        <v>75</v>
      </c>
      <c r="T23" s="28" t="str">
        <f t="shared" si="6"/>
        <v>m</v>
      </c>
      <c r="U23" s="37">
        <f>(IF(OR(A23="DWF",A23="DNF"),0,QUOTIENT(Données_Planning!K21,60)))</f>
        <v>0</v>
      </c>
      <c r="V23" s="7">
        <f t="shared" si="7"/>
        <v>0</v>
      </c>
      <c r="W23" s="36">
        <f>(IF(OR(A23="DWF",A23="DNF"),Données_Planning!K21,MOD(Données_Planning!K21,60)))</f>
        <v>100</v>
      </c>
      <c r="X23" s="38" t="str">
        <f t="shared" si="8"/>
        <v>m</v>
      </c>
      <c r="Y23" s="42"/>
    </row>
    <row r="24" spans="1:25" ht="15.75" x14ac:dyDescent="0.25">
      <c r="A24" s="4" t="str">
        <f>Données_Planning!A22</f>
        <v>dwf</v>
      </c>
      <c r="B24" s="6">
        <f>Données_Planning!B22</f>
        <v>1</v>
      </c>
      <c r="C24" s="28">
        <f>Données_Planning!C22</f>
        <v>2</v>
      </c>
      <c r="D24" s="50">
        <f t="shared" si="0"/>
        <v>0.4548611111111111</v>
      </c>
      <c r="E24" s="51">
        <f t="shared" si="1"/>
        <v>0.47361111111111109</v>
      </c>
      <c r="F24" s="52">
        <f t="shared" si="2"/>
        <v>0.47430555555555554</v>
      </c>
      <c r="G24" s="47">
        <f>Données_Planning!L22</f>
        <v>0.47569444444444442</v>
      </c>
      <c r="H24" s="18" t="str">
        <f>Données_Planning!H22</f>
        <v>Les Cormorans 2</v>
      </c>
      <c r="I24" s="5">
        <f>Données_Planning!D22</f>
        <v>26</v>
      </c>
      <c r="J24" s="22" t="str">
        <f>Données_Planning!F22</f>
        <v>LEITNER</v>
      </c>
      <c r="K24" s="22" t="str">
        <f>Données_Planning!E22</f>
        <v>Rachel</v>
      </c>
      <c r="L24" s="35" t="str">
        <f>Données_Planning!G22</f>
        <v>F</v>
      </c>
      <c r="M24" s="37">
        <f>(IF(OR(A24="DWF",A24="DNF"),0,QUOTIENT(Données_Planning!J22,60)))</f>
        <v>0</v>
      </c>
      <c r="N24" s="7">
        <f t="shared" si="3"/>
        <v>0</v>
      </c>
      <c r="O24" s="36">
        <f>(IF(OR(A24="DWF",A24="DNF"),Données_Planning!J22,MOD(Données_Planning!J22,60)))</f>
        <v>55</v>
      </c>
      <c r="P24" s="28" t="str">
        <f t="shared" si="4"/>
        <v>m</v>
      </c>
      <c r="Q24" s="37">
        <f>(IF(OR(A24="DWF",A24="DNF"),0,QUOTIENT(Données_Planning!I22,60)))</f>
        <v>0</v>
      </c>
      <c r="R24" s="7">
        <f t="shared" si="5"/>
        <v>0</v>
      </c>
      <c r="S24" s="36">
        <f>(IF(OR(A24="DWF",A24="DNF"),Données_Planning!I22,MOD(Données_Planning!I22,60)))</f>
        <v>80</v>
      </c>
      <c r="T24" s="28" t="str">
        <f t="shared" si="6"/>
        <v>m</v>
      </c>
      <c r="U24" s="37">
        <f>(IF(OR(A24="DWF",A24="DNF"),0,QUOTIENT(Données_Planning!K22,60)))</f>
        <v>0</v>
      </c>
      <c r="V24" s="7">
        <f t="shared" si="7"/>
        <v>0</v>
      </c>
      <c r="W24" s="36">
        <f>(IF(OR(A24="DWF",A24="DNF"),Données_Planning!K22,MOD(Données_Planning!K22,60)))</f>
        <v>105</v>
      </c>
      <c r="X24" s="38" t="str">
        <f t="shared" si="8"/>
        <v>m</v>
      </c>
      <c r="Y24" s="42"/>
    </row>
    <row r="25" spans="1:25" ht="15.75" x14ac:dyDescent="0.25">
      <c r="A25" s="4" t="str">
        <f>Données_Planning!A23</f>
        <v>dwf</v>
      </c>
      <c r="B25" s="6">
        <f>Données_Planning!B23</f>
        <v>2</v>
      </c>
      <c r="C25" s="28">
        <f>Données_Planning!C23</f>
        <v>1</v>
      </c>
      <c r="D25" s="50">
        <f t="shared" si="0"/>
        <v>0.45972222222222225</v>
      </c>
      <c r="E25" s="51">
        <f t="shared" si="1"/>
        <v>0.47847222222222224</v>
      </c>
      <c r="F25" s="52">
        <f t="shared" si="2"/>
        <v>0.47916666666666669</v>
      </c>
      <c r="G25" s="47">
        <f>Données_Planning!L23</f>
        <v>0.48055555555555557</v>
      </c>
      <c r="H25" s="18" t="str">
        <f>Données_Planning!H23</f>
        <v>LIMULES</v>
      </c>
      <c r="I25" s="5">
        <f>Données_Planning!D23</f>
        <v>33</v>
      </c>
      <c r="J25" s="22" t="str">
        <f>Données_Planning!F23</f>
        <v>CORDIER</v>
      </c>
      <c r="K25" s="22" t="str">
        <f>Données_Planning!E23</f>
        <v>Frédérique</v>
      </c>
      <c r="L25" s="35" t="str">
        <f>Données_Planning!G23</f>
        <v>F</v>
      </c>
      <c r="M25" s="37">
        <f>(IF(OR(A25="DWF",A25="DNF"),0,QUOTIENT(Données_Planning!J23,60)))</f>
        <v>0</v>
      </c>
      <c r="N25" s="7">
        <f t="shared" si="3"/>
        <v>0</v>
      </c>
      <c r="O25" s="36">
        <f>(IF(OR(A25="DWF",A25="DNF"),Données_Planning!J23,MOD(Données_Planning!J23,60)))</f>
        <v>75</v>
      </c>
      <c r="P25" s="28" t="str">
        <f t="shared" si="4"/>
        <v>m</v>
      </c>
      <c r="Q25" s="37">
        <f>(IF(OR(A25="DWF",A25="DNF"),0,QUOTIENT(Données_Planning!I23,60)))</f>
        <v>0</v>
      </c>
      <c r="R25" s="7">
        <f t="shared" si="5"/>
        <v>0</v>
      </c>
      <c r="S25" s="36">
        <f>(IF(OR(A25="DWF",A25="DNF"),Données_Planning!I23,MOD(Données_Planning!I23,60)))</f>
        <v>100</v>
      </c>
      <c r="T25" s="28" t="str">
        <f t="shared" si="6"/>
        <v>m</v>
      </c>
      <c r="U25" s="37">
        <f>(IF(OR(A25="DWF",A25="DNF"),0,QUOTIENT(Données_Planning!K23,60)))</f>
        <v>0</v>
      </c>
      <c r="V25" s="7">
        <f t="shared" si="7"/>
        <v>0</v>
      </c>
      <c r="W25" s="36">
        <f>(IF(OR(A25="DWF",A25="DNF"),Données_Planning!K23,MOD(Données_Planning!K23,60)))</f>
        <v>125</v>
      </c>
      <c r="X25" s="38" t="str">
        <f t="shared" si="8"/>
        <v>m</v>
      </c>
      <c r="Y25" s="42"/>
    </row>
    <row r="26" spans="1:25" ht="15.75" x14ac:dyDescent="0.25">
      <c r="A26" s="4" t="str">
        <f>Données_Planning!A24</f>
        <v>dwf</v>
      </c>
      <c r="B26" s="6">
        <f>Données_Planning!B24</f>
        <v>2</v>
      </c>
      <c r="C26" s="28">
        <f>Données_Planning!C24</f>
        <v>2</v>
      </c>
      <c r="D26" s="50">
        <f t="shared" si="0"/>
        <v>0.45972222222222225</v>
      </c>
      <c r="E26" s="51">
        <f t="shared" si="1"/>
        <v>0.47847222222222224</v>
      </c>
      <c r="F26" s="52">
        <f t="shared" si="2"/>
        <v>0.47916666666666669</v>
      </c>
      <c r="G26" s="47">
        <f>Données_Planning!L24</f>
        <v>0.48055555555555557</v>
      </c>
      <c r="H26" s="18" t="str">
        <f>Données_Planning!H24</f>
        <v>Apneaman, Praha, Czech Republic</v>
      </c>
      <c r="I26" s="5">
        <f>Données_Planning!D24</f>
        <v>5</v>
      </c>
      <c r="J26" s="22" t="str">
        <f>Données_Planning!F24</f>
        <v>SKROBOVA</v>
      </c>
      <c r="K26" s="22" t="str">
        <f>Données_Planning!E24</f>
        <v>Jana</v>
      </c>
      <c r="L26" s="35" t="str">
        <f>Données_Planning!G24</f>
        <v>F</v>
      </c>
      <c r="M26" s="37">
        <f>(IF(OR(A26="DWF",A26="DNF"),0,QUOTIENT(Données_Planning!J24,60)))</f>
        <v>0</v>
      </c>
      <c r="N26" s="7">
        <f t="shared" si="3"/>
        <v>0</v>
      </c>
      <c r="O26" s="36">
        <f>(IF(OR(A26="DWF",A26="DNF"),Données_Planning!J24,MOD(Données_Planning!J24,60)))</f>
        <v>75</v>
      </c>
      <c r="P26" s="28" t="str">
        <f t="shared" si="4"/>
        <v>m</v>
      </c>
      <c r="Q26" s="37">
        <f>(IF(OR(A26="DWF",A26="DNF"),0,QUOTIENT(Données_Planning!I24,60)))</f>
        <v>0</v>
      </c>
      <c r="R26" s="7">
        <f t="shared" si="5"/>
        <v>0</v>
      </c>
      <c r="S26" s="36">
        <f>(IF(OR(A26="DWF",A26="DNF"),Données_Planning!I24,MOD(Données_Planning!I24,60)))</f>
        <v>100</v>
      </c>
      <c r="T26" s="28" t="str">
        <f t="shared" si="6"/>
        <v>m</v>
      </c>
      <c r="U26" s="37">
        <f>(IF(OR(A26="DWF",A26="DNF"),0,QUOTIENT(Données_Planning!K24,60)))</f>
        <v>0</v>
      </c>
      <c r="V26" s="7">
        <f t="shared" si="7"/>
        <v>0</v>
      </c>
      <c r="W26" s="36">
        <f>(IF(OR(A26="DWF",A26="DNF"),Données_Planning!K24,MOD(Données_Planning!K24,60)))</f>
        <v>125</v>
      </c>
      <c r="X26" s="38" t="str">
        <f t="shared" si="8"/>
        <v>m</v>
      </c>
      <c r="Y26" s="42"/>
    </row>
    <row r="27" spans="1:25" ht="15.75" x14ac:dyDescent="0.25">
      <c r="A27" s="4" t="str">
        <f>Données_Planning!A25</f>
        <v>dwf</v>
      </c>
      <c r="B27" s="6">
        <f>Données_Planning!B25</f>
        <v>3</v>
      </c>
      <c r="C27" s="28">
        <f>Données_Planning!C25</f>
        <v>1</v>
      </c>
      <c r="D27" s="50">
        <f t="shared" si="0"/>
        <v>0.46458333333333335</v>
      </c>
      <c r="E27" s="51">
        <f t="shared" si="1"/>
        <v>0.48333333333333334</v>
      </c>
      <c r="F27" s="52">
        <f t="shared" si="2"/>
        <v>0.48402777777777778</v>
      </c>
      <c r="G27" s="47">
        <f>Données_Planning!L25</f>
        <v>0.48541666666666666</v>
      </c>
      <c r="H27" s="18" t="str">
        <f>Données_Planning!H25</f>
        <v>CYRNEA</v>
      </c>
      <c r="I27" s="5">
        <f>Données_Planning!D25</f>
        <v>6</v>
      </c>
      <c r="J27" s="22" t="str">
        <f>Données_Planning!F25</f>
        <v>SOULA</v>
      </c>
      <c r="K27" s="22" t="str">
        <f>Données_Planning!E25</f>
        <v>jean-david</v>
      </c>
      <c r="L27" s="35" t="str">
        <f>Données_Planning!G25</f>
        <v>H</v>
      </c>
      <c r="M27" s="37">
        <f>(IF(OR(A27="DWF",A27="DNF"),0,QUOTIENT(Données_Planning!J25,60)))</f>
        <v>0</v>
      </c>
      <c r="N27" s="7">
        <f t="shared" si="3"/>
        <v>0</v>
      </c>
      <c r="O27" s="36">
        <f>(IF(OR(A27="DWF",A27="DNF"),Données_Planning!J25,MOD(Données_Planning!J25,60)))</f>
        <v>75</v>
      </c>
      <c r="P27" s="28" t="str">
        <f t="shared" si="4"/>
        <v>m</v>
      </c>
      <c r="Q27" s="37">
        <f>(IF(OR(A27="DWF",A27="DNF"),0,QUOTIENT(Données_Planning!I25,60)))</f>
        <v>0</v>
      </c>
      <c r="R27" s="7">
        <f t="shared" si="5"/>
        <v>0</v>
      </c>
      <c r="S27" s="36">
        <f>(IF(OR(A27="DWF",A27="DNF"),Données_Planning!I25,MOD(Données_Planning!I25,60)))</f>
        <v>100</v>
      </c>
      <c r="T27" s="28" t="str">
        <f t="shared" si="6"/>
        <v>m</v>
      </c>
      <c r="U27" s="37">
        <f>(IF(OR(A27="DWF",A27="DNF"),0,QUOTIENT(Données_Planning!K25,60)))</f>
        <v>0</v>
      </c>
      <c r="V27" s="7">
        <f t="shared" si="7"/>
        <v>0</v>
      </c>
      <c r="W27" s="36">
        <f>(IF(OR(A27="DWF",A27="DNF"),Données_Planning!K25,MOD(Données_Planning!K25,60)))</f>
        <v>125</v>
      </c>
      <c r="X27" s="38" t="str">
        <f t="shared" si="8"/>
        <v>m</v>
      </c>
      <c r="Y27" s="42"/>
    </row>
    <row r="28" spans="1:25" ht="15.75" x14ac:dyDescent="0.25">
      <c r="A28" s="4" t="str">
        <f>Données_Planning!A26</f>
        <v>dwf</v>
      </c>
      <c r="B28" s="6">
        <f>Données_Planning!B26</f>
        <v>3</v>
      </c>
      <c r="C28" s="28">
        <f>Données_Planning!C26</f>
        <v>2</v>
      </c>
      <c r="D28" s="50">
        <f t="shared" si="0"/>
        <v>0.46458333333333335</v>
      </c>
      <c r="E28" s="51">
        <f t="shared" si="1"/>
        <v>0.48333333333333334</v>
      </c>
      <c r="F28" s="52">
        <f t="shared" si="2"/>
        <v>0.48402777777777778</v>
      </c>
      <c r="G28" s="47">
        <f>Données_Planning!L26</f>
        <v>0.48541666666666666</v>
      </c>
      <c r="H28" s="18" t="str">
        <f>Données_Planning!H26</f>
        <v>CYRNEA</v>
      </c>
      <c r="I28" s="5">
        <f>Données_Planning!D26</f>
        <v>8</v>
      </c>
      <c r="J28" s="22" t="str">
        <f>Données_Planning!F26</f>
        <v>RIGAUD</v>
      </c>
      <c r="K28" s="22" t="str">
        <f>Données_Planning!E26</f>
        <v>Estelle</v>
      </c>
      <c r="L28" s="35" t="str">
        <f>Données_Planning!G26</f>
        <v>F</v>
      </c>
      <c r="M28" s="37">
        <f>(IF(OR(A28="DWF",A28="DNF"),0,QUOTIENT(Données_Planning!J26,60)))</f>
        <v>0</v>
      </c>
      <c r="N28" s="7">
        <f t="shared" si="3"/>
        <v>0</v>
      </c>
      <c r="O28" s="36">
        <f>(IF(OR(A28="DWF",A28="DNF"),Données_Planning!J26,MOD(Données_Planning!J26,60)))</f>
        <v>75</v>
      </c>
      <c r="P28" s="28" t="str">
        <f t="shared" si="4"/>
        <v>m</v>
      </c>
      <c r="Q28" s="37">
        <f>(IF(OR(A28="DWF",A28="DNF"),0,QUOTIENT(Données_Planning!I26,60)))</f>
        <v>0</v>
      </c>
      <c r="R28" s="7">
        <f t="shared" si="5"/>
        <v>0</v>
      </c>
      <c r="S28" s="36">
        <f>(IF(OR(A28="DWF",A28="DNF"),Données_Planning!I26,MOD(Données_Planning!I26,60)))</f>
        <v>100</v>
      </c>
      <c r="T28" s="28" t="str">
        <f t="shared" si="6"/>
        <v>m</v>
      </c>
      <c r="U28" s="37">
        <f>(IF(OR(A28="DWF",A28="DNF"),0,QUOTIENT(Données_Planning!K26,60)))</f>
        <v>0</v>
      </c>
      <c r="V28" s="7">
        <f t="shared" si="7"/>
        <v>0</v>
      </c>
      <c r="W28" s="36">
        <f>(IF(OR(A28="DWF",A28="DNF"),Données_Planning!K26,MOD(Données_Planning!K26,60)))</f>
        <v>125</v>
      </c>
      <c r="X28" s="38" t="str">
        <f t="shared" si="8"/>
        <v>m</v>
      </c>
      <c r="Y28" s="42"/>
    </row>
    <row r="29" spans="1:25" ht="15.75" x14ac:dyDescent="0.25">
      <c r="A29" s="4" t="str">
        <f>Données_Planning!A27</f>
        <v>dwf</v>
      </c>
      <c r="B29" s="6">
        <f>Données_Planning!B27</f>
        <v>4</v>
      </c>
      <c r="C29" s="28">
        <f>Données_Planning!C27</f>
        <v>1</v>
      </c>
      <c r="D29" s="50">
        <f t="shared" si="0"/>
        <v>0.4694444444444445</v>
      </c>
      <c r="E29" s="51">
        <f t="shared" si="1"/>
        <v>0.48819444444444449</v>
      </c>
      <c r="F29" s="52">
        <f t="shared" si="2"/>
        <v>0.48888888888888893</v>
      </c>
      <c r="G29" s="47">
        <f>Données_Planning!L27</f>
        <v>0.49027777777777781</v>
      </c>
      <c r="H29" s="18" t="str">
        <f>Données_Planning!H27</f>
        <v>Les Cormorans 1</v>
      </c>
      <c r="I29" s="5">
        <f>Données_Planning!D27</f>
        <v>24</v>
      </c>
      <c r="J29" s="22" t="str">
        <f>Données_Planning!F27</f>
        <v>HARTMANN</v>
      </c>
      <c r="K29" s="22" t="str">
        <f>Données_Planning!E27</f>
        <v>Loraine</v>
      </c>
      <c r="L29" s="35" t="str">
        <f>Données_Planning!G27</f>
        <v>F</v>
      </c>
      <c r="M29" s="37">
        <f>(IF(OR(A29="DWF",A29="DNF"),0,QUOTIENT(Données_Planning!J27,60)))</f>
        <v>0</v>
      </c>
      <c r="N29" s="7">
        <f t="shared" si="3"/>
        <v>0</v>
      </c>
      <c r="O29" s="36">
        <f>(IF(OR(A29="DWF",A29="DNF"),Données_Planning!J27,MOD(Données_Planning!J27,60)))</f>
        <v>75</v>
      </c>
      <c r="P29" s="28" t="str">
        <f t="shared" si="4"/>
        <v>m</v>
      </c>
      <c r="Q29" s="37">
        <f>(IF(OR(A29="DWF",A29="DNF"),0,QUOTIENT(Données_Planning!I27,60)))</f>
        <v>0</v>
      </c>
      <c r="R29" s="7">
        <f t="shared" si="5"/>
        <v>0</v>
      </c>
      <c r="S29" s="36">
        <f>(IF(OR(A29="DWF",A29="DNF"),Données_Planning!I27,MOD(Données_Planning!I27,60)))</f>
        <v>100</v>
      </c>
      <c r="T29" s="28" t="str">
        <f t="shared" si="6"/>
        <v>m</v>
      </c>
      <c r="U29" s="37">
        <f>(IF(OR(A29="DWF",A29="DNF"),0,QUOTIENT(Données_Planning!K27,60)))</f>
        <v>0</v>
      </c>
      <c r="V29" s="7">
        <f t="shared" si="7"/>
        <v>0</v>
      </c>
      <c r="W29" s="36">
        <f>(IF(OR(A29="DWF",A29="DNF"),Données_Planning!K27,MOD(Données_Planning!K27,60)))</f>
        <v>125</v>
      </c>
      <c r="X29" s="38" t="str">
        <f t="shared" si="8"/>
        <v>m</v>
      </c>
      <c r="Y29" s="42"/>
    </row>
    <row r="30" spans="1:25" ht="15.75" x14ac:dyDescent="0.25">
      <c r="A30" s="4" t="str">
        <f>Données_Planning!A28</f>
        <v>dwf</v>
      </c>
      <c r="B30" s="6">
        <f>Données_Planning!B28</f>
        <v>4</v>
      </c>
      <c r="C30" s="28">
        <f>Données_Planning!C28</f>
        <v>2</v>
      </c>
      <c r="D30" s="50">
        <f t="shared" si="0"/>
        <v>0.4694444444444445</v>
      </c>
      <c r="E30" s="51">
        <f t="shared" si="1"/>
        <v>0.48819444444444449</v>
      </c>
      <c r="F30" s="52">
        <f t="shared" si="2"/>
        <v>0.48888888888888893</v>
      </c>
      <c r="G30" s="47">
        <f>Données_Planning!L28</f>
        <v>0.49027777777777781</v>
      </c>
      <c r="H30" s="18" t="str">
        <f>Données_Planning!H28</f>
        <v>Sportpleizh</v>
      </c>
      <c r="I30" s="5">
        <f>Données_Planning!D28</f>
        <v>43</v>
      </c>
      <c r="J30" s="22" t="str">
        <f>Données_Planning!F28</f>
        <v>ORSKI SIMONET</v>
      </c>
      <c r="K30" s="22" t="str">
        <f>Données_Planning!E28</f>
        <v>Laetitia</v>
      </c>
      <c r="L30" s="35" t="str">
        <f>Données_Planning!G28</f>
        <v>F</v>
      </c>
      <c r="M30" s="37">
        <f>(IF(OR(A30="DWF",A30="DNF"),0,QUOTIENT(Données_Planning!J28,60)))</f>
        <v>0</v>
      </c>
      <c r="N30" s="7">
        <f t="shared" si="3"/>
        <v>0</v>
      </c>
      <c r="O30" s="36">
        <f>(IF(OR(A30="DWF",A30="DNF"),Données_Planning!J28,MOD(Données_Planning!J28,60)))</f>
        <v>88</v>
      </c>
      <c r="P30" s="28" t="str">
        <f t="shared" si="4"/>
        <v>m</v>
      </c>
      <c r="Q30" s="37">
        <f>(IF(OR(A30="DWF",A30="DNF"),0,QUOTIENT(Données_Planning!I28,60)))</f>
        <v>0</v>
      </c>
      <c r="R30" s="7">
        <f t="shared" si="5"/>
        <v>0</v>
      </c>
      <c r="S30" s="36">
        <f>(IF(OR(A30="DWF",A30="DNF"),Données_Planning!I28,MOD(Données_Planning!I28,60)))</f>
        <v>113</v>
      </c>
      <c r="T30" s="28" t="str">
        <f t="shared" si="6"/>
        <v>m</v>
      </c>
      <c r="U30" s="37">
        <f>(IF(OR(A30="DWF",A30="DNF"),0,QUOTIENT(Données_Planning!K28,60)))</f>
        <v>0</v>
      </c>
      <c r="V30" s="7">
        <f t="shared" si="7"/>
        <v>0</v>
      </c>
      <c r="W30" s="36">
        <f>(IF(OR(A30="DWF",A30="DNF"),Données_Planning!K28,MOD(Données_Planning!K28,60)))</f>
        <v>138</v>
      </c>
      <c r="X30" s="38" t="str">
        <f t="shared" si="8"/>
        <v>m</v>
      </c>
      <c r="Y30" s="42"/>
    </row>
    <row r="31" spans="1:25" ht="15.75" x14ac:dyDescent="0.25">
      <c r="A31" s="4" t="str">
        <f>Données_Planning!A29</f>
        <v>dwf</v>
      </c>
      <c r="B31" s="6">
        <f>Données_Planning!B29</f>
        <v>5</v>
      </c>
      <c r="C31" s="28">
        <f>Données_Planning!C29</f>
        <v>1</v>
      </c>
      <c r="D31" s="50">
        <f t="shared" si="0"/>
        <v>0.47430555555555554</v>
      </c>
      <c r="E31" s="51">
        <f t="shared" si="1"/>
        <v>0.49305555555555552</v>
      </c>
      <c r="F31" s="52">
        <f t="shared" si="2"/>
        <v>0.49374999999999997</v>
      </c>
      <c r="G31" s="47">
        <f>Données_Planning!L29</f>
        <v>0.49513888888888885</v>
      </c>
      <c r="H31" s="18" t="str">
        <f>Données_Planning!H29</f>
        <v>Imashi</v>
      </c>
      <c r="I31" s="5">
        <f>Données_Planning!D29</f>
        <v>16</v>
      </c>
      <c r="J31" s="22" t="str">
        <f>Données_Planning!F29</f>
        <v>GAUBERT</v>
      </c>
      <c r="K31" s="22" t="str">
        <f>Données_Planning!E29</f>
        <v>Albane</v>
      </c>
      <c r="L31" s="35" t="str">
        <f>Données_Planning!G29</f>
        <v>F</v>
      </c>
      <c r="M31" s="37">
        <f>(IF(OR(A31="DWF",A31="DNF"),0,QUOTIENT(Données_Planning!J29,60)))</f>
        <v>0</v>
      </c>
      <c r="N31" s="7">
        <f t="shared" si="3"/>
        <v>0</v>
      </c>
      <c r="O31" s="36">
        <f>(IF(OR(A31="DWF",A31="DNF"),Données_Planning!J29,MOD(Données_Planning!J29,60)))</f>
        <v>90</v>
      </c>
      <c r="P31" s="28" t="str">
        <f t="shared" si="4"/>
        <v>m</v>
      </c>
      <c r="Q31" s="37">
        <f>(IF(OR(A31="DWF",A31="DNF"),0,QUOTIENT(Données_Planning!I29,60)))</f>
        <v>0</v>
      </c>
      <c r="R31" s="7">
        <f t="shared" si="5"/>
        <v>0</v>
      </c>
      <c r="S31" s="36">
        <f>(IF(OR(A31="DWF",A31="DNF"),Données_Planning!I29,MOD(Données_Planning!I29,60)))</f>
        <v>115</v>
      </c>
      <c r="T31" s="28" t="str">
        <f t="shared" si="6"/>
        <v>m</v>
      </c>
      <c r="U31" s="37">
        <f>(IF(OR(A31="DWF",A31="DNF"),0,QUOTIENT(Données_Planning!K29,60)))</f>
        <v>0</v>
      </c>
      <c r="V31" s="7">
        <f t="shared" si="7"/>
        <v>0</v>
      </c>
      <c r="W31" s="36">
        <f>(IF(OR(A31="DWF",A31="DNF"),Données_Planning!K29,MOD(Données_Planning!K29,60)))</f>
        <v>140</v>
      </c>
      <c r="X31" s="38" t="str">
        <f t="shared" si="8"/>
        <v>m</v>
      </c>
      <c r="Y31" s="42"/>
    </row>
    <row r="32" spans="1:25" ht="15.75" x14ac:dyDescent="0.25">
      <c r="A32" s="4" t="str">
        <f>Données_Planning!A30</f>
        <v>dwf</v>
      </c>
      <c r="B32" s="6">
        <f>Données_Planning!B30</f>
        <v>5</v>
      </c>
      <c r="C32" s="28">
        <f>Données_Planning!C30</f>
        <v>2</v>
      </c>
      <c r="D32" s="50">
        <f t="shared" si="0"/>
        <v>0.47430555555555554</v>
      </c>
      <c r="E32" s="51">
        <f t="shared" si="1"/>
        <v>0.49305555555555552</v>
      </c>
      <c r="F32" s="52">
        <f t="shared" si="2"/>
        <v>0.49374999999999997</v>
      </c>
      <c r="G32" s="47">
        <f>Données_Planning!L30</f>
        <v>0.49513888888888885</v>
      </c>
      <c r="H32" s="18" t="str">
        <f>Données_Planning!H30</f>
        <v>LIMULES</v>
      </c>
      <c r="I32" s="5">
        <f>Données_Planning!D30</f>
        <v>35</v>
      </c>
      <c r="J32" s="22" t="str">
        <f>Données_Planning!F30</f>
        <v>DEVANLAY</v>
      </c>
      <c r="K32" s="22" t="str">
        <f>Données_Planning!E30</f>
        <v>Marie</v>
      </c>
      <c r="L32" s="35" t="str">
        <f>Données_Planning!G30</f>
        <v>F</v>
      </c>
      <c r="M32" s="37">
        <f>(IF(OR(A32="DWF",A32="DNF"),0,QUOTIENT(Données_Planning!J30,60)))</f>
        <v>0</v>
      </c>
      <c r="N32" s="7">
        <f t="shared" si="3"/>
        <v>0</v>
      </c>
      <c r="O32" s="36">
        <f>(IF(OR(A32="DWF",A32="DNF"),Données_Planning!J30,MOD(Données_Planning!J30,60)))</f>
        <v>95</v>
      </c>
      <c r="P32" s="28" t="str">
        <f t="shared" si="4"/>
        <v>m</v>
      </c>
      <c r="Q32" s="37">
        <f>(IF(OR(A32="DWF",A32="DNF"),0,QUOTIENT(Données_Planning!I30,60)))</f>
        <v>0</v>
      </c>
      <c r="R32" s="7">
        <f t="shared" si="5"/>
        <v>0</v>
      </c>
      <c r="S32" s="36">
        <f>(IF(OR(A32="DWF",A32="DNF"),Données_Planning!I30,MOD(Données_Planning!I30,60)))</f>
        <v>120</v>
      </c>
      <c r="T32" s="28" t="str">
        <f t="shared" si="6"/>
        <v>m</v>
      </c>
      <c r="U32" s="37">
        <f>(IF(OR(A32="DWF",A32="DNF"),0,QUOTIENT(Données_Planning!K30,60)))</f>
        <v>0</v>
      </c>
      <c r="V32" s="7">
        <f t="shared" si="7"/>
        <v>0</v>
      </c>
      <c r="W32" s="36">
        <f>(IF(OR(A32="DWF",A32="DNF"),Données_Planning!K30,MOD(Données_Planning!K30,60)))</f>
        <v>145</v>
      </c>
      <c r="X32" s="38" t="str">
        <f t="shared" si="8"/>
        <v>m</v>
      </c>
      <c r="Y32" s="42"/>
    </row>
    <row r="33" spans="1:25" ht="15.75" x14ac:dyDescent="0.25">
      <c r="A33" s="4" t="str">
        <f>Données_Planning!A31</f>
        <v>dwf</v>
      </c>
      <c r="B33" s="6">
        <f>Données_Planning!B31</f>
        <v>6</v>
      </c>
      <c r="C33" s="28">
        <f>Données_Planning!C31</f>
        <v>1</v>
      </c>
      <c r="D33" s="50">
        <f t="shared" si="0"/>
        <v>0.47916666666666669</v>
      </c>
      <c r="E33" s="51">
        <f t="shared" si="1"/>
        <v>0.49791666666666667</v>
      </c>
      <c r="F33" s="52">
        <f t="shared" si="2"/>
        <v>0.49861111111111112</v>
      </c>
      <c r="G33" s="47">
        <f>Données_Planning!L31</f>
        <v>0.5</v>
      </c>
      <c r="H33" s="18" t="str">
        <f>Données_Planning!H31</f>
        <v>Imashi</v>
      </c>
      <c r="I33" s="5">
        <f>Données_Planning!D31</f>
        <v>17</v>
      </c>
      <c r="J33" s="22" t="str">
        <f>Données_Planning!F31</f>
        <v>REGNARD</v>
      </c>
      <c r="K33" s="22" t="str">
        <f>Données_Planning!E31</f>
        <v>Caroline</v>
      </c>
      <c r="L33" s="35" t="str">
        <f>Données_Planning!G31</f>
        <v>F</v>
      </c>
      <c r="M33" s="37">
        <f>(IF(OR(A33="DWF",A33="DNF"),0,QUOTIENT(Données_Planning!J31,60)))</f>
        <v>0</v>
      </c>
      <c r="N33" s="7">
        <f t="shared" si="3"/>
        <v>0</v>
      </c>
      <c r="O33" s="36">
        <f>(IF(OR(A33="DWF",A33="DNF"),Données_Planning!J31,MOD(Données_Planning!J31,60)))</f>
        <v>101</v>
      </c>
      <c r="P33" s="28" t="str">
        <f t="shared" si="4"/>
        <v>m</v>
      </c>
      <c r="Q33" s="37">
        <f>(IF(OR(A33="DWF",A33="DNF"),0,QUOTIENT(Données_Planning!I31,60)))</f>
        <v>0</v>
      </c>
      <c r="R33" s="7">
        <f t="shared" si="5"/>
        <v>0</v>
      </c>
      <c r="S33" s="36">
        <f>(IF(OR(A33="DWF",A33="DNF"),Données_Planning!I31,MOD(Données_Planning!I31,60)))</f>
        <v>126</v>
      </c>
      <c r="T33" s="28" t="str">
        <f t="shared" si="6"/>
        <v>m</v>
      </c>
      <c r="U33" s="37">
        <f>(IF(OR(A33="DWF",A33="DNF"),0,QUOTIENT(Données_Planning!K31,60)))</f>
        <v>0</v>
      </c>
      <c r="V33" s="7">
        <f t="shared" si="7"/>
        <v>0</v>
      </c>
      <c r="W33" s="36">
        <f>(IF(OR(A33="DWF",A33="DNF"),Données_Planning!K31,MOD(Données_Planning!K31,60)))</f>
        <v>151</v>
      </c>
      <c r="X33" s="38" t="str">
        <f t="shared" si="8"/>
        <v>m</v>
      </c>
      <c r="Y33" s="42"/>
    </row>
    <row r="34" spans="1:25" ht="15.75" x14ac:dyDescent="0.25">
      <c r="A34" s="4" t="str">
        <f>Données_Planning!A32</f>
        <v>dwf</v>
      </c>
      <c r="B34" s="6">
        <f>Données_Planning!B32</f>
        <v>6</v>
      </c>
      <c r="C34" s="28">
        <f>Données_Planning!C32</f>
        <v>2</v>
      </c>
      <c r="D34" s="50">
        <f t="shared" si="0"/>
        <v>0.47916666666666669</v>
      </c>
      <c r="E34" s="51">
        <f t="shared" si="1"/>
        <v>0.49791666666666667</v>
      </c>
      <c r="F34" s="52">
        <f t="shared" si="2"/>
        <v>0.49861111111111112</v>
      </c>
      <c r="G34" s="47">
        <f>Données_Planning!L32</f>
        <v>0.5</v>
      </c>
      <c r="H34" s="18" t="str">
        <f>Données_Planning!H32</f>
        <v>Enjoy And Relax</v>
      </c>
      <c r="I34" s="5">
        <f>Données_Planning!D32</f>
        <v>14</v>
      </c>
      <c r="J34" s="22" t="str">
        <f>Données_Planning!F32</f>
        <v>GATA</v>
      </c>
      <c r="K34" s="22" t="str">
        <f>Données_Planning!E32</f>
        <v>Aude</v>
      </c>
      <c r="L34" s="35" t="str">
        <f>Données_Planning!G32</f>
        <v>F</v>
      </c>
      <c r="M34" s="37">
        <f>(IF(OR(A34="DWF",A34="DNF"),0,QUOTIENT(Données_Planning!J32,60)))</f>
        <v>0</v>
      </c>
      <c r="N34" s="7">
        <f t="shared" si="3"/>
        <v>0</v>
      </c>
      <c r="O34" s="36">
        <f>(IF(OR(A34="DWF",A34="DNF"),Données_Planning!J32,MOD(Données_Planning!J32,60)))</f>
        <v>115</v>
      </c>
      <c r="P34" s="28" t="str">
        <f t="shared" si="4"/>
        <v>m</v>
      </c>
      <c r="Q34" s="37">
        <f>(IF(OR(A34="DWF",A34="DNF"),0,QUOTIENT(Données_Planning!I32,60)))</f>
        <v>0</v>
      </c>
      <c r="R34" s="7">
        <f t="shared" si="5"/>
        <v>0</v>
      </c>
      <c r="S34" s="36">
        <f>(IF(OR(A34="DWF",A34="DNF"),Données_Planning!I32,MOD(Données_Planning!I32,60)))</f>
        <v>140</v>
      </c>
      <c r="T34" s="28" t="str">
        <f t="shared" si="6"/>
        <v>m</v>
      </c>
      <c r="U34" s="37">
        <f>(IF(OR(A34="DWF",A34="DNF"),0,QUOTIENT(Données_Planning!K32,60)))</f>
        <v>0</v>
      </c>
      <c r="V34" s="7">
        <f t="shared" si="7"/>
        <v>0</v>
      </c>
      <c r="W34" s="36">
        <f>(IF(OR(A34="DWF",A34="DNF"),Données_Planning!K32,MOD(Données_Planning!K32,60)))</f>
        <v>165</v>
      </c>
      <c r="X34" s="38" t="str">
        <f t="shared" si="8"/>
        <v>m</v>
      </c>
      <c r="Y34" s="42"/>
    </row>
    <row r="35" spans="1:25" ht="15.75" x14ac:dyDescent="0.25">
      <c r="A35" s="4" t="str">
        <f>Données_Planning!A33</f>
        <v>dwf</v>
      </c>
      <c r="B35" s="6">
        <f>Données_Planning!B33</f>
        <v>7</v>
      </c>
      <c r="C35" s="28">
        <f>Données_Planning!C33</f>
        <v>1</v>
      </c>
      <c r="D35" s="50">
        <f t="shared" si="0"/>
        <v>0.48402777777777778</v>
      </c>
      <c r="E35" s="51">
        <f t="shared" si="1"/>
        <v>0.50277777777777777</v>
      </c>
      <c r="F35" s="52">
        <f t="shared" si="2"/>
        <v>0.50347222222222221</v>
      </c>
      <c r="G35" s="47">
        <f>Données_Planning!L33</f>
        <v>0.50486111111111109</v>
      </c>
      <c r="H35" s="18" t="str">
        <f>Données_Planning!H33</f>
        <v>Sportpleizh</v>
      </c>
      <c r="I35" s="5">
        <f>Données_Planning!D33</f>
        <v>44</v>
      </c>
      <c r="J35" s="22" t="str">
        <f>Données_Planning!F33</f>
        <v>PIERRAT</v>
      </c>
      <c r="K35" s="22" t="str">
        <f>Données_Planning!E33</f>
        <v>Patrice</v>
      </c>
      <c r="L35" s="35" t="str">
        <f>Données_Planning!G33</f>
        <v>H</v>
      </c>
      <c r="M35" s="37">
        <f>(IF(OR(A35="DWF",A35="DNF"),0,QUOTIENT(Données_Planning!J33,60)))</f>
        <v>0</v>
      </c>
      <c r="N35" s="7">
        <f t="shared" si="3"/>
        <v>0</v>
      </c>
      <c r="O35" s="36">
        <f>(IF(OR(A35="DWF",A35="DNF"),Données_Planning!J33,MOD(Données_Planning!J33,60)))</f>
        <v>115</v>
      </c>
      <c r="P35" s="28" t="str">
        <f t="shared" si="4"/>
        <v>m</v>
      </c>
      <c r="Q35" s="37">
        <f>(IF(OR(A35="DWF",A35="DNF"),0,QUOTIENT(Données_Planning!I33,60)))</f>
        <v>0</v>
      </c>
      <c r="R35" s="7">
        <f t="shared" si="5"/>
        <v>0</v>
      </c>
      <c r="S35" s="36">
        <f>(IF(OR(A35="DWF",A35="DNF"),Données_Planning!I33,MOD(Données_Planning!I33,60)))</f>
        <v>140</v>
      </c>
      <c r="T35" s="28" t="str">
        <f t="shared" si="6"/>
        <v>m</v>
      </c>
      <c r="U35" s="37">
        <f>(IF(OR(A35="DWF",A35="DNF"),0,QUOTIENT(Données_Planning!K33,60)))</f>
        <v>0</v>
      </c>
      <c r="V35" s="7">
        <f t="shared" si="7"/>
        <v>0</v>
      </c>
      <c r="W35" s="36">
        <f>(IF(OR(A35="DWF",A35="DNF"),Données_Planning!K33,MOD(Données_Planning!K33,60)))</f>
        <v>165</v>
      </c>
      <c r="X35" s="38" t="str">
        <f t="shared" si="8"/>
        <v>m</v>
      </c>
      <c r="Y35" s="42"/>
    </row>
    <row r="36" spans="1:25" ht="15.75" x14ac:dyDescent="0.25">
      <c r="A36" s="4" t="str">
        <f>Données_Planning!A34</f>
        <v>dwf</v>
      </c>
      <c r="B36" s="6">
        <f>Données_Planning!B34</f>
        <v>7</v>
      </c>
      <c r="C36" s="28">
        <f>Données_Planning!C34</f>
        <v>2</v>
      </c>
      <c r="D36" s="50">
        <f t="shared" si="0"/>
        <v>0.48402777777777778</v>
      </c>
      <c r="E36" s="51">
        <f t="shared" si="1"/>
        <v>0.50277777777777777</v>
      </c>
      <c r="F36" s="52">
        <f t="shared" si="2"/>
        <v>0.50347222222222221</v>
      </c>
      <c r="G36" s="47">
        <f>Données_Planning!L34</f>
        <v>0.50486111111111109</v>
      </c>
      <c r="H36" s="18" t="str">
        <f>Données_Planning!H34</f>
        <v>SavoyOuBien?</v>
      </c>
      <c r="I36" s="5">
        <f>Données_Planning!D34</f>
        <v>39</v>
      </c>
      <c r="J36" s="22" t="str">
        <f>Données_Planning!F34</f>
        <v>EKSTETS</v>
      </c>
      <c r="K36" s="22" t="str">
        <f>Données_Planning!E34</f>
        <v>Marie-pierre</v>
      </c>
      <c r="L36" s="35" t="str">
        <f>Données_Planning!G34</f>
        <v>F</v>
      </c>
      <c r="M36" s="37">
        <f>(IF(OR(A36="DWF",A36="DNF"),0,QUOTIENT(Données_Planning!J34,60)))</f>
        <v>0</v>
      </c>
      <c r="N36" s="7">
        <f t="shared" si="3"/>
        <v>0</v>
      </c>
      <c r="O36" s="36">
        <f>(IF(OR(A36="DWF",A36="DNF"),Données_Planning!J34,MOD(Données_Planning!J34,60)))</f>
        <v>125</v>
      </c>
      <c r="P36" s="28" t="str">
        <f t="shared" si="4"/>
        <v>m</v>
      </c>
      <c r="Q36" s="37">
        <f>(IF(OR(A36="DWF",A36="DNF"),0,QUOTIENT(Données_Planning!I34,60)))</f>
        <v>0</v>
      </c>
      <c r="R36" s="7">
        <f t="shared" si="5"/>
        <v>0</v>
      </c>
      <c r="S36" s="36">
        <f>(IF(OR(A36="DWF",A36="DNF"),Données_Planning!I34,MOD(Données_Planning!I34,60)))</f>
        <v>150</v>
      </c>
      <c r="T36" s="28" t="str">
        <f t="shared" si="6"/>
        <v>m</v>
      </c>
      <c r="U36" s="37">
        <f>(IF(OR(A36="DWF",A36="DNF"),0,QUOTIENT(Données_Planning!K34,60)))</f>
        <v>0</v>
      </c>
      <c r="V36" s="7">
        <f t="shared" si="7"/>
        <v>0</v>
      </c>
      <c r="W36" s="36">
        <f>(IF(OR(A36="DWF",A36="DNF"),Données_Planning!K34,MOD(Données_Planning!K34,60)))</f>
        <v>175</v>
      </c>
      <c r="X36" s="38" t="str">
        <f t="shared" si="8"/>
        <v>m</v>
      </c>
      <c r="Y36" s="42"/>
    </row>
    <row r="37" spans="1:25" ht="15.75" x14ac:dyDescent="0.25">
      <c r="A37" s="4" t="str">
        <f>Données_Planning!A35</f>
        <v>dwf</v>
      </c>
      <c r="B37" s="6">
        <f>Données_Planning!B35</f>
        <v>8</v>
      </c>
      <c r="C37" s="28">
        <f>Données_Planning!C35</f>
        <v>1</v>
      </c>
      <c r="D37" s="50">
        <f t="shared" si="0"/>
        <v>0.48888888888888887</v>
      </c>
      <c r="E37" s="51">
        <f t="shared" si="1"/>
        <v>0.50763888888888886</v>
      </c>
      <c r="F37" s="52">
        <f t="shared" si="2"/>
        <v>0.5083333333333333</v>
      </c>
      <c r="G37" s="47">
        <f>Données_Planning!L35</f>
        <v>0.50972222222222219</v>
      </c>
      <c r="H37" s="18" t="str">
        <f>Données_Planning!H35</f>
        <v>SavoyOuBien?</v>
      </c>
      <c r="I37" s="5">
        <f>Données_Planning!D35</f>
        <v>40</v>
      </c>
      <c r="J37" s="22" t="str">
        <f>Données_Planning!F35</f>
        <v>VERNIER</v>
      </c>
      <c r="K37" s="22" t="str">
        <f>Données_Planning!E35</f>
        <v>Emilie</v>
      </c>
      <c r="L37" s="35" t="str">
        <f>Données_Planning!G35</f>
        <v>F</v>
      </c>
      <c r="M37" s="37">
        <f>(IF(OR(A37="DWF",A37="DNF"),0,QUOTIENT(Données_Planning!J35,60)))</f>
        <v>0</v>
      </c>
      <c r="N37" s="7">
        <f t="shared" si="3"/>
        <v>0</v>
      </c>
      <c r="O37" s="36">
        <f>(IF(OR(A37="DWF",A37="DNF"),Données_Planning!J35,MOD(Données_Planning!J35,60)))</f>
        <v>125</v>
      </c>
      <c r="P37" s="28" t="str">
        <f t="shared" si="4"/>
        <v>m</v>
      </c>
      <c r="Q37" s="37">
        <f>(IF(OR(A37="DWF",A37="DNF"),0,QUOTIENT(Données_Planning!I35,60)))</f>
        <v>0</v>
      </c>
      <c r="R37" s="7">
        <f t="shared" si="5"/>
        <v>0</v>
      </c>
      <c r="S37" s="36">
        <f>(IF(OR(A37="DWF",A37="DNF"),Données_Planning!I35,MOD(Données_Planning!I35,60)))</f>
        <v>150</v>
      </c>
      <c r="T37" s="28" t="str">
        <f t="shared" si="6"/>
        <v>m</v>
      </c>
      <c r="U37" s="37">
        <f>(IF(OR(A37="DWF",A37="DNF"),0,QUOTIENT(Données_Planning!K35,60)))</f>
        <v>0</v>
      </c>
      <c r="V37" s="7">
        <f t="shared" si="7"/>
        <v>0</v>
      </c>
      <c r="W37" s="36">
        <f>(IF(OR(A37="DWF",A37="DNF"),Données_Planning!K35,MOD(Données_Planning!K35,60)))</f>
        <v>175</v>
      </c>
      <c r="X37" s="38" t="str">
        <f t="shared" si="8"/>
        <v>m</v>
      </c>
      <c r="Y37" s="42"/>
    </row>
    <row r="38" spans="1:25" ht="15.75" x14ac:dyDescent="0.25">
      <c r="A38" s="4" t="str">
        <f>Données_Planning!A36</f>
        <v>dwf</v>
      </c>
      <c r="B38" s="6">
        <f>Données_Planning!B36</f>
        <v>8</v>
      </c>
      <c r="C38" s="28">
        <f>Données_Planning!C36</f>
        <v>2</v>
      </c>
      <c r="D38" s="50">
        <f t="shared" si="0"/>
        <v>0.48888888888888887</v>
      </c>
      <c r="E38" s="51">
        <f t="shared" si="1"/>
        <v>0.50763888888888886</v>
      </c>
      <c r="F38" s="52">
        <f t="shared" si="2"/>
        <v>0.5083333333333333</v>
      </c>
      <c r="G38" s="47">
        <f>Données_Planning!L36</f>
        <v>0.50972222222222219</v>
      </c>
      <c r="H38" s="18" t="str">
        <f>Données_Planning!H36</f>
        <v>Les Cormorans 1</v>
      </c>
      <c r="I38" s="5">
        <f>Données_Planning!D36</f>
        <v>23</v>
      </c>
      <c r="J38" s="22" t="str">
        <f>Données_Planning!F36</f>
        <v>ELU</v>
      </c>
      <c r="K38" s="22" t="str">
        <f>Données_Planning!E36</f>
        <v>Olivier</v>
      </c>
      <c r="L38" s="35" t="str">
        <f>Données_Planning!G36</f>
        <v>H</v>
      </c>
      <c r="M38" s="37">
        <f>(IF(OR(A38="DWF",A38="DNF"),0,QUOTIENT(Données_Planning!J36,60)))</f>
        <v>0</v>
      </c>
      <c r="N38" s="7">
        <f t="shared" si="3"/>
        <v>0</v>
      </c>
      <c r="O38" s="36">
        <f>(IF(OR(A38="DWF",A38="DNF"),Données_Planning!J36,MOD(Données_Planning!J36,60)))</f>
        <v>150</v>
      </c>
      <c r="P38" s="28" t="str">
        <f t="shared" si="4"/>
        <v>m</v>
      </c>
      <c r="Q38" s="37">
        <f>(IF(OR(A38="DWF",A38="DNF"),0,QUOTIENT(Données_Planning!I36,60)))</f>
        <v>0</v>
      </c>
      <c r="R38" s="7">
        <f t="shared" si="5"/>
        <v>0</v>
      </c>
      <c r="S38" s="36">
        <f>(IF(OR(A38="DWF",A38="DNF"),Données_Planning!I36,MOD(Données_Planning!I36,60)))</f>
        <v>175</v>
      </c>
      <c r="T38" s="28" t="str">
        <f t="shared" si="6"/>
        <v>m</v>
      </c>
      <c r="U38" s="37">
        <f>(IF(OR(A38="DWF",A38="DNF"),0,QUOTIENT(Données_Planning!K36,60)))</f>
        <v>0</v>
      </c>
      <c r="V38" s="7">
        <f t="shared" si="7"/>
        <v>0</v>
      </c>
      <c r="W38" s="36">
        <f>(IF(OR(A38="DWF",A38="DNF"),Données_Planning!K36,MOD(Données_Planning!K36,60)))</f>
        <v>200</v>
      </c>
      <c r="X38" s="38" t="str">
        <f t="shared" si="8"/>
        <v>m</v>
      </c>
      <c r="Y38" s="42"/>
    </row>
    <row r="39" spans="1:25" ht="15.75" x14ac:dyDescent="0.25">
      <c r="A39" s="4" t="str">
        <f>Données_Planning!A37</f>
        <v>dwf</v>
      </c>
      <c r="B39" s="6">
        <f>Données_Planning!B37</f>
        <v>9</v>
      </c>
      <c r="C39" s="28">
        <f>Données_Planning!C37</f>
        <v>1</v>
      </c>
      <c r="D39" s="50">
        <f t="shared" si="0"/>
        <v>0.49374999999999997</v>
      </c>
      <c r="E39" s="51">
        <f t="shared" si="1"/>
        <v>0.51249999999999996</v>
      </c>
      <c r="F39" s="52">
        <f t="shared" si="2"/>
        <v>0.5131944444444444</v>
      </c>
      <c r="G39" s="47">
        <f>Données_Planning!L37</f>
        <v>0.51458333333333328</v>
      </c>
      <c r="H39" s="18" t="str">
        <f>Données_Planning!H37</f>
        <v>Enjoy And Relax</v>
      </c>
      <c r="I39" s="5">
        <f>Données_Planning!D37</f>
        <v>11</v>
      </c>
      <c r="J39" s="22" t="str">
        <f>Données_Planning!F37</f>
        <v>HURON</v>
      </c>
      <c r="K39" s="22" t="str">
        <f>Données_Planning!E37</f>
        <v>Pascal</v>
      </c>
      <c r="L39" s="35" t="str">
        <f>Données_Planning!G37</f>
        <v>H</v>
      </c>
      <c r="M39" s="37">
        <f>(IF(OR(A39="DWF",A39="DNF"),0,QUOTIENT(Données_Planning!J37,60)))</f>
        <v>0</v>
      </c>
      <c r="N39" s="7">
        <f t="shared" si="3"/>
        <v>0</v>
      </c>
      <c r="O39" s="36">
        <f>(IF(OR(A39="DWF",A39="DNF"),Données_Planning!J37,MOD(Données_Planning!J37,60)))</f>
        <v>175</v>
      </c>
      <c r="P39" s="28" t="str">
        <f t="shared" si="4"/>
        <v>m</v>
      </c>
      <c r="Q39" s="37">
        <f>(IF(OR(A39="DWF",A39="DNF"),0,QUOTIENT(Données_Planning!I37,60)))</f>
        <v>0</v>
      </c>
      <c r="R39" s="7">
        <f t="shared" si="5"/>
        <v>0</v>
      </c>
      <c r="S39" s="36">
        <f>(IF(OR(A39="DWF",A39="DNF"),Données_Planning!I37,MOD(Données_Planning!I37,60)))</f>
        <v>200</v>
      </c>
      <c r="T39" s="28" t="str">
        <f t="shared" si="6"/>
        <v>m</v>
      </c>
      <c r="U39" s="37">
        <f>(IF(OR(A39="DWF",A39="DNF"),0,QUOTIENT(Données_Planning!K37,60)))</f>
        <v>0</v>
      </c>
      <c r="V39" s="7">
        <f t="shared" si="7"/>
        <v>0</v>
      </c>
      <c r="W39" s="36">
        <f>(IF(OR(A39="DWF",A39="DNF"),Données_Planning!K37,MOD(Données_Planning!K37,60)))</f>
        <v>225</v>
      </c>
      <c r="X39" s="38" t="str">
        <f t="shared" si="8"/>
        <v>m</v>
      </c>
      <c r="Y39" s="42"/>
    </row>
    <row r="40" spans="1:25" ht="15.75" x14ac:dyDescent="0.25">
      <c r="A40" s="4" t="str">
        <f>Données_Planning!A38</f>
        <v>dwf</v>
      </c>
      <c r="B40" s="6">
        <f>Données_Planning!B38</f>
        <v>9</v>
      </c>
      <c r="C40" s="28">
        <f>Données_Planning!C38</f>
        <v>2</v>
      </c>
      <c r="D40" s="50">
        <f t="shared" si="0"/>
        <v>0.49374999999999997</v>
      </c>
      <c r="E40" s="51">
        <f t="shared" si="1"/>
        <v>0.51249999999999996</v>
      </c>
      <c r="F40" s="52">
        <f t="shared" si="2"/>
        <v>0.5131944444444444</v>
      </c>
      <c r="G40" s="47">
        <f>Données_Planning!L38</f>
        <v>0.51458333333333328</v>
      </c>
      <c r="H40" s="18" t="str">
        <f>Données_Planning!H38</f>
        <v>Apneaman, Praha, Czech Republic</v>
      </c>
      <c r="I40" s="5">
        <f>Données_Planning!D38</f>
        <v>2</v>
      </c>
      <c r="J40" s="22" t="str">
        <f>Données_Planning!F38</f>
        <v>RISIAN</v>
      </c>
      <c r="K40" s="22" t="str">
        <f>Données_Planning!E38</f>
        <v>Michal</v>
      </c>
      <c r="L40" s="35" t="str">
        <f>Données_Planning!G38</f>
        <v>H</v>
      </c>
      <c r="M40" s="37">
        <f>(IF(OR(A40="DWF",A40="DNF"),0,QUOTIENT(Données_Planning!J38,60)))</f>
        <v>0</v>
      </c>
      <c r="N40" s="7">
        <f t="shared" si="3"/>
        <v>0</v>
      </c>
      <c r="O40" s="36">
        <f>(IF(OR(A40="DWF",A40="DNF"),Données_Planning!J38,MOD(Données_Planning!J38,60)))</f>
        <v>175</v>
      </c>
      <c r="P40" s="28" t="str">
        <f t="shared" si="4"/>
        <v>m</v>
      </c>
      <c r="Q40" s="37">
        <f>(IF(OR(A40="DWF",A40="DNF"),0,QUOTIENT(Données_Planning!I38,60)))</f>
        <v>0</v>
      </c>
      <c r="R40" s="7">
        <f t="shared" si="5"/>
        <v>0</v>
      </c>
      <c r="S40" s="36">
        <f>(IF(OR(A40="DWF",A40="DNF"),Données_Planning!I38,MOD(Données_Planning!I38,60)))</f>
        <v>200</v>
      </c>
      <c r="T40" s="28" t="str">
        <f t="shared" si="6"/>
        <v>m</v>
      </c>
      <c r="U40" s="37">
        <f>(IF(OR(A40="DWF",A40="DNF"),0,QUOTIENT(Données_Planning!K38,60)))</f>
        <v>0</v>
      </c>
      <c r="V40" s="7">
        <f t="shared" si="7"/>
        <v>0</v>
      </c>
      <c r="W40" s="36">
        <f>(IF(OR(A40="DWF",A40="DNF"),Données_Planning!K38,MOD(Données_Planning!K38,60)))</f>
        <v>225</v>
      </c>
      <c r="X40" s="38" t="str">
        <f t="shared" si="8"/>
        <v>m</v>
      </c>
      <c r="Y40" s="42"/>
    </row>
    <row r="41" spans="1:25" ht="15.75" x14ac:dyDescent="0.25">
      <c r="A41" s="4" t="str">
        <f>Données_Planning!A39</f>
        <v>spd</v>
      </c>
      <c r="B41" s="6">
        <f>Données_Planning!B39</f>
        <v>1</v>
      </c>
      <c r="C41" s="28">
        <f>Données_Planning!C39</f>
        <v>1</v>
      </c>
      <c r="D41" s="50">
        <f t="shared" si="0"/>
        <v>0.50555555555555554</v>
      </c>
      <c r="E41" s="51">
        <f t="shared" si="1"/>
        <v>0.52430555555555558</v>
      </c>
      <c r="F41" s="52">
        <f t="shared" si="2"/>
        <v>0.52500000000000002</v>
      </c>
      <c r="G41" s="47">
        <f>Données_Planning!L39</f>
        <v>0.52638888888888891</v>
      </c>
      <c r="H41" s="18" t="str">
        <f>Données_Planning!H39</f>
        <v>Imashi</v>
      </c>
      <c r="I41" s="5">
        <f>Données_Planning!D39</f>
        <v>18</v>
      </c>
      <c r="J41" s="22" t="str">
        <f>Données_Planning!F39</f>
        <v>OLLIVO</v>
      </c>
      <c r="K41" s="22" t="str">
        <f>Données_Planning!E39</f>
        <v>Kevin</v>
      </c>
      <c r="L41" s="35" t="str">
        <f>Données_Planning!G39</f>
        <v>H</v>
      </c>
      <c r="M41" s="37">
        <f>(IF(OR(A41="DWF",A41="DNF"),0,QUOTIENT(Données_Planning!J39,60)))</f>
        <v>0</v>
      </c>
      <c r="N41" s="7" t="str">
        <f t="shared" si="3"/>
        <v>min</v>
      </c>
      <c r="O41" s="36">
        <f>(IF(OR(A41="DWF",A41="DNF"),Données_Planning!J39,MOD(Données_Planning!J39,60)))</f>
        <v>35</v>
      </c>
      <c r="P41" s="28" t="str">
        <f t="shared" si="4"/>
        <v>s</v>
      </c>
      <c r="Q41" s="37">
        <f>(IF(OR(A41="DWF",A41="DNF"),0,QUOTIENT(Données_Planning!I39,60)))</f>
        <v>0</v>
      </c>
      <c r="R41" s="7" t="str">
        <f t="shared" si="5"/>
        <v>min</v>
      </c>
      <c r="S41" s="36">
        <f>(IF(OR(A41="DWF",A41="DNF"),Données_Planning!I39,MOD(Données_Planning!I39,60)))</f>
        <v>45</v>
      </c>
      <c r="T41" s="28" t="str">
        <f t="shared" si="6"/>
        <v>s</v>
      </c>
      <c r="U41" s="37">
        <f>(IF(OR(A41="DWF",A41="DNF"),0,QUOTIENT(Données_Planning!K39,60)))</f>
        <v>1</v>
      </c>
      <c r="V41" s="7" t="str">
        <f t="shared" si="7"/>
        <v>min</v>
      </c>
      <c r="W41" s="36">
        <f>(IF(OR(A41="DWF",A41="DNF"),Données_Planning!K39,MOD(Données_Planning!K39,60)))</f>
        <v>5</v>
      </c>
      <c r="X41" s="38" t="str">
        <f t="shared" si="8"/>
        <v>s</v>
      </c>
      <c r="Y41" s="42"/>
    </row>
    <row r="42" spans="1:25" ht="15.75" x14ac:dyDescent="0.25">
      <c r="A42" s="4" t="str">
        <f>Données_Planning!A40</f>
        <v>spd</v>
      </c>
      <c r="B42" s="6">
        <f>Données_Planning!B40</f>
        <v>1</v>
      </c>
      <c r="C42" s="28">
        <f>Données_Planning!C40</f>
        <v>2</v>
      </c>
      <c r="D42" s="50">
        <f t="shared" si="0"/>
        <v>0.50555555555555554</v>
      </c>
      <c r="E42" s="51">
        <f t="shared" si="1"/>
        <v>0.52430555555555558</v>
      </c>
      <c r="F42" s="52">
        <f t="shared" si="2"/>
        <v>0.52500000000000002</v>
      </c>
      <c r="G42" s="47">
        <f>Données_Planning!L40</f>
        <v>0.52638888888888891</v>
      </c>
      <c r="H42" s="18" t="str">
        <f>Données_Planning!H40</f>
        <v>Les Cormorans 1</v>
      </c>
      <c r="I42" s="5">
        <f>Données_Planning!D40</f>
        <v>22</v>
      </c>
      <c r="J42" s="22" t="str">
        <f>Données_Planning!F40</f>
        <v>GASS</v>
      </c>
      <c r="K42" s="22" t="str">
        <f>Données_Planning!E40</f>
        <v>Alexandre</v>
      </c>
      <c r="L42" s="35" t="str">
        <f>Données_Planning!G40</f>
        <v>H</v>
      </c>
      <c r="M42" s="37">
        <f>(IF(OR(A42="DWF",A42="DNF"),0,QUOTIENT(Données_Planning!J40,60)))</f>
        <v>0</v>
      </c>
      <c r="N42" s="7" t="str">
        <f t="shared" si="3"/>
        <v>min</v>
      </c>
      <c r="O42" s="36">
        <f>(IF(OR(A42="DWF",A42="DNF"),Données_Planning!J40,MOD(Données_Planning!J40,60)))</f>
        <v>35</v>
      </c>
      <c r="P42" s="28" t="str">
        <f t="shared" si="4"/>
        <v>s</v>
      </c>
      <c r="Q42" s="37">
        <f>(IF(OR(A42="DWF",A42="DNF"),0,QUOTIENT(Données_Planning!I40,60)))</f>
        <v>0</v>
      </c>
      <c r="R42" s="7" t="str">
        <f t="shared" si="5"/>
        <v>min</v>
      </c>
      <c r="S42" s="36">
        <f>(IF(OR(A42="DWF",A42="DNF"),Données_Planning!I40,MOD(Données_Planning!I40,60)))</f>
        <v>45</v>
      </c>
      <c r="T42" s="28" t="str">
        <f t="shared" si="6"/>
        <v>s</v>
      </c>
      <c r="U42" s="37">
        <f>(IF(OR(A42="DWF",A42="DNF"),0,QUOTIENT(Données_Planning!K40,60)))</f>
        <v>1</v>
      </c>
      <c r="V42" s="7" t="str">
        <f t="shared" si="7"/>
        <v>min</v>
      </c>
      <c r="W42" s="36">
        <f>(IF(OR(A42="DWF",A42="DNF"),Données_Planning!K40,MOD(Données_Planning!K40,60)))</f>
        <v>5</v>
      </c>
      <c r="X42" s="38" t="str">
        <f t="shared" si="8"/>
        <v>s</v>
      </c>
      <c r="Y42" s="42"/>
    </row>
    <row r="43" spans="1:25" ht="15.75" x14ac:dyDescent="0.25">
      <c r="A43" s="4" t="str">
        <f>Données_Planning!A41</f>
        <v>spd</v>
      </c>
      <c r="B43" s="6">
        <f>Données_Planning!B41</f>
        <v>1</v>
      </c>
      <c r="C43" s="28">
        <f>Données_Planning!C41</f>
        <v>3</v>
      </c>
      <c r="D43" s="50">
        <f t="shared" si="0"/>
        <v>0.50555555555555554</v>
      </c>
      <c r="E43" s="51">
        <f t="shared" si="1"/>
        <v>0.52430555555555558</v>
      </c>
      <c r="F43" s="52">
        <f t="shared" si="2"/>
        <v>0.52500000000000002</v>
      </c>
      <c r="G43" s="47">
        <f>Données_Planning!L41</f>
        <v>0.52638888888888891</v>
      </c>
      <c r="H43" s="18" t="str">
        <f>Données_Planning!H41</f>
        <v>Apneaman, Praha, Czech Republic</v>
      </c>
      <c r="I43" s="5">
        <f>Données_Planning!D41</f>
        <v>3</v>
      </c>
      <c r="J43" s="22" t="str">
        <f>Données_Planning!F41</f>
        <v>SVADLENKA</v>
      </c>
      <c r="K43" s="22" t="str">
        <f>Données_Planning!E41</f>
        <v>Michal</v>
      </c>
      <c r="L43" s="35" t="str">
        <f>Données_Planning!G41</f>
        <v>H</v>
      </c>
      <c r="M43" s="37">
        <f>(IF(OR(A43="DWF",A43="DNF"),0,QUOTIENT(Données_Planning!J41,60)))</f>
        <v>0</v>
      </c>
      <c r="N43" s="7" t="str">
        <f t="shared" si="3"/>
        <v>min</v>
      </c>
      <c r="O43" s="36">
        <f>(IF(OR(A43="DWF",A43="DNF"),Données_Planning!J41,MOD(Données_Planning!J41,60)))</f>
        <v>40</v>
      </c>
      <c r="P43" s="28" t="str">
        <f t="shared" si="4"/>
        <v>s</v>
      </c>
      <c r="Q43" s="37">
        <f>(IF(OR(A43="DWF",A43="DNF"),0,QUOTIENT(Données_Planning!I41,60)))</f>
        <v>0</v>
      </c>
      <c r="R43" s="7" t="str">
        <f t="shared" si="5"/>
        <v>min</v>
      </c>
      <c r="S43" s="36">
        <f>(IF(OR(A43="DWF",A43="DNF"),Données_Planning!I41,MOD(Données_Planning!I41,60)))</f>
        <v>50</v>
      </c>
      <c r="T43" s="28" t="str">
        <f t="shared" si="6"/>
        <v>s</v>
      </c>
      <c r="U43" s="37">
        <f>(IF(OR(A43="DWF",A43="DNF"),0,QUOTIENT(Données_Planning!K41,60)))</f>
        <v>1</v>
      </c>
      <c r="V43" s="7" t="str">
        <f t="shared" si="7"/>
        <v>min</v>
      </c>
      <c r="W43" s="36">
        <f>(IF(OR(A43="DWF",A43="DNF"),Données_Planning!K41,MOD(Données_Planning!K41,60)))</f>
        <v>10</v>
      </c>
      <c r="X43" s="38" t="str">
        <f t="shared" si="8"/>
        <v>s</v>
      </c>
      <c r="Y43" s="42"/>
    </row>
    <row r="44" spans="1:25" ht="15.75" x14ac:dyDescent="0.25">
      <c r="A44" s="4" t="str">
        <f>Données_Planning!A42</f>
        <v>spd</v>
      </c>
      <c r="B44" s="6">
        <f>Données_Planning!B42</f>
        <v>1</v>
      </c>
      <c r="C44" s="28">
        <f>Données_Planning!C42</f>
        <v>4</v>
      </c>
      <c r="D44" s="50">
        <f t="shared" si="0"/>
        <v>0.50555555555555554</v>
      </c>
      <c r="E44" s="51">
        <f t="shared" si="1"/>
        <v>0.52430555555555558</v>
      </c>
      <c r="F44" s="52">
        <f t="shared" si="2"/>
        <v>0.52500000000000002</v>
      </c>
      <c r="G44" s="47">
        <f>Données_Planning!L42</f>
        <v>0.52638888888888891</v>
      </c>
      <c r="H44" s="18" t="str">
        <f>Données_Planning!H42</f>
        <v>Sportpleizh</v>
      </c>
      <c r="I44" s="5">
        <f>Données_Planning!D42</f>
        <v>42</v>
      </c>
      <c r="J44" s="22" t="str">
        <f>Données_Planning!F42</f>
        <v>VOGLER</v>
      </c>
      <c r="K44" s="22" t="str">
        <f>Données_Planning!E42</f>
        <v>Christian</v>
      </c>
      <c r="L44" s="35" t="str">
        <f>Données_Planning!G42</f>
        <v>H</v>
      </c>
      <c r="M44" s="37">
        <f>(IF(OR(A44="DWF",A44="DNF"),0,QUOTIENT(Données_Planning!J42,60)))</f>
        <v>0</v>
      </c>
      <c r="N44" s="7" t="str">
        <f t="shared" si="3"/>
        <v>min</v>
      </c>
      <c r="O44" s="36">
        <f>(IF(OR(A44="DWF",A44="DNF"),Données_Planning!J42,MOD(Données_Planning!J42,60)))</f>
        <v>40</v>
      </c>
      <c r="P44" s="28" t="str">
        <f t="shared" si="4"/>
        <v>s</v>
      </c>
      <c r="Q44" s="37">
        <f>(IF(OR(A44="DWF",A44="DNF"),0,QUOTIENT(Données_Planning!I42,60)))</f>
        <v>0</v>
      </c>
      <c r="R44" s="7" t="str">
        <f t="shared" si="5"/>
        <v>min</v>
      </c>
      <c r="S44" s="36">
        <f>(IF(OR(A44="DWF",A44="DNF"),Données_Planning!I42,MOD(Données_Planning!I42,60)))</f>
        <v>50</v>
      </c>
      <c r="T44" s="28" t="str">
        <f t="shared" si="6"/>
        <v>s</v>
      </c>
      <c r="U44" s="37">
        <f>(IF(OR(A44="DWF",A44="DNF"),0,QUOTIENT(Données_Planning!K42,60)))</f>
        <v>1</v>
      </c>
      <c r="V44" s="7" t="str">
        <f t="shared" si="7"/>
        <v>min</v>
      </c>
      <c r="W44" s="36">
        <f>(IF(OR(A44="DWF",A44="DNF"),Données_Planning!K42,MOD(Données_Planning!K42,60)))</f>
        <v>10</v>
      </c>
      <c r="X44" s="38" t="str">
        <f t="shared" si="8"/>
        <v>s</v>
      </c>
      <c r="Y44" s="42"/>
    </row>
    <row r="45" spans="1:25" ht="15.75" x14ac:dyDescent="0.25">
      <c r="A45" s="4" t="str">
        <f>Données_Planning!A43</f>
        <v>spd</v>
      </c>
      <c r="B45" s="6">
        <f>Données_Planning!B43</f>
        <v>2</v>
      </c>
      <c r="C45" s="28">
        <f>Données_Planning!C43</f>
        <v>1</v>
      </c>
      <c r="D45" s="50">
        <f t="shared" si="0"/>
        <v>0.52152777777777781</v>
      </c>
      <c r="E45" s="51">
        <f t="shared" si="1"/>
        <v>0.54027777777777786</v>
      </c>
      <c r="F45" s="52">
        <f t="shared" si="2"/>
        <v>0.5409722222222223</v>
      </c>
      <c r="G45" s="47">
        <f>Données_Planning!L43</f>
        <v>0.54236111111111118</v>
      </c>
      <c r="H45" s="18" t="str">
        <f>Données_Planning!H43</f>
        <v>CYRNEA</v>
      </c>
      <c r="I45" s="5">
        <f>Données_Planning!D43</f>
        <v>9</v>
      </c>
      <c r="J45" s="22" t="str">
        <f>Données_Planning!F43</f>
        <v>CARCHI</v>
      </c>
      <c r="K45" s="22" t="str">
        <f>Données_Planning!E43</f>
        <v>Mathieu</v>
      </c>
      <c r="L45" s="35" t="str">
        <f>Données_Planning!G43</f>
        <v>H</v>
      </c>
      <c r="M45" s="37">
        <f>(IF(OR(A45="DWF",A45="DNF"),0,QUOTIENT(Données_Planning!J43,60)))</f>
        <v>0</v>
      </c>
      <c r="N45" s="7" t="str">
        <f t="shared" si="3"/>
        <v>min</v>
      </c>
      <c r="O45" s="36">
        <f>(IF(OR(A45="DWF",A45="DNF"),Données_Planning!J43,MOD(Données_Planning!J43,60)))</f>
        <v>40</v>
      </c>
      <c r="P45" s="28" t="str">
        <f t="shared" si="4"/>
        <v>s</v>
      </c>
      <c r="Q45" s="37">
        <f>(IF(OR(A45="DWF",A45="DNF"),0,QUOTIENT(Données_Planning!I43,60)))</f>
        <v>0</v>
      </c>
      <c r="R45" s="7" t="str">
        <f t="shared" si="5"/>
        <v>min</v>
      </c>
      <c r="S45" s="36">
        <f>(IF(OR(A45="DWF",A45="DNF"),Données_Planning!I43,MOD(Données_Planning!I43,60)))</f>
        <v>50</v>
      </c>
      <c r="T45" s="28" t="str">
        <f t="shared" si="6"/>
        <v>s</v>
      </c>
      <c r="U45" s="37">
        <f>(IF(OR(A45="DWF",A45="DNF"),0,QUOTIENT(Données_Planning!K43,60)))</f>
        <v>1</v>
      </c>
      <c r="V45" s="7" t="str">
        <f t="shared" si="7"/>
        <v>min</v>
      </c>
      <c r="W45" s="36">
        <f>(IF(OR(A45="DWF",A45="DNF"),Données_Planning!K43,MOD(Données_Planning!K43,60)))</f>
        <v>10</v>
      </c>
      <c r="X45" s="38" t="str">
        <f t="shared" si="8"/>
        <v>s</v>
      </c>
      <c r="Y45" s="42"/>
    </row>
    <row r="46" spans="1:25" ht="15.75" x14ac:dyDescent="0.25">
      <c r="A46" s="4" t="str">
        <f>Données_Planning!A44</f>
        <v>spd</v>
      </c>
      <c r="B46" s="6">
        <f>Données_Planning!B44</f>
        <v>2</v>
      </c>
      <c r="C46" s="28">
        <f>Données_Planning!C44</f>
        <v>2</v>
      </c>
      <c r="D46" s="50">
        <f t="shared" si="0"/>
        <v>0.52152777777777781</v>
      </c>
      <c r="E46" s="51">
        <f t="shared" si="1"/>
        <v>0.54027777777777786</v>
      </c>
      <c r="F46" s="52">
        <f t="shared" si="2"/>
        <v>0.5409722222222223</v>
      </c>
      <c r="G46" s="47">
        <f>Données_Planning!L44</f>
        <v>0.54236111111111118</v>
      </c>
      <c r="H46" s="18" t="str">
        <f>Données_Planning!H44</f>
        <v>Apneaman, Praha, Czech Republic</v>
      </c>
      <c r="I46" s="5">
        <f>Données_Planning!D44</f>
        <v>1</v>
      </c>
      <c r="J46" s="22" t="str">
        <f>Données_Planning!F44</f>
        <v>ZAJAC</v>
      </c>
      <c r="K46" s="22" t="str">
        <f>Données_Planning!E44</f>
        <v>Martin</v>
      </c>
      <c r="L46" s="35" t="str">
        <f>Données_Planning!G44</f>
        <v>H</v>
      </c>
      <c r="M46" s="37">
        <f>(IF(OR(A46="DWF",A46="DNF"),0,QUOTIENT(Données_Planning!J44,60)))</f>
        <v>0</v>
      </c>
      <c r="N46" s="7" t="str">
        <f t="shared" si="3"/>
        <v>min</v>
      </c>
      <c r="O46" s="36">
        <f>(IF(OR(A46="DWF",A46="DNF"),Données_Planning!J44,MOD(Données_Planning!J44,60)))</f>
        <v>40</v>
      </c>
      <c r="P46" s="28" t="str">
        <f t="shared" si="4"/>
        <v>s</v>
      </c>
      <c r="Q46" s="37">
        <f>(IF(OR(A46="DWF",A46="DNF"),0,QUOTIENT(Données_Planning!I44,60)))</f>
        <v>0</v>
      </c>
      <c r="R46" s="7" t="str">
        <f t="shared" si="5"/>
        <v>min</v>
      </c>
      <c r="S46" s="36">
        <f>(IF(OR(A46="DWF",A46="DNF"),Données_Planning!I44,MOD(Données_Planning!I44,60)))</f>
        <v>50</v>
      </c>
      <c r="T46" s="28" t="str">
        <f t="shared" si="6"/>
        <v>s</v>
      </c>
      <c r="U46" s="37">
        <f>(IF(OR(A46="DWF",A46="DNF"),0,QUOTIENT(Données_Planning!K44,60)))</f>
        <v>1</v>
      </c>
      <c r="V46" s="7" t="str">
        <f t="shared" si="7"/>
        <v>min</v>
      </c>
      <c r="W46" s="36">
        <f>(IF(OR(A46="DWF",A46="DNF"),Données_Planning!K44,MOD(Données_Planning!K44,60)))</f>
        <v>10</v>
      </c>
      <c r="X46" s="38" t="str">
        <f t="shared" si="8"/>
        <v>s</v>
      </c>
      <c r="Y46" s="42"/>
    </row>
    <row r="47" spans="1:25" ht="15.75" x14ac:dyDescent="0.25">
      <c r="A47" s="4" t="str">
        <f>Données_Planning!A45</f>
        <v>spd</v>
      </c>
      <c r="B47" s="6">
        <f>Données_Planning!B45</f>
        <v>2</v>
      </c>
      <c r="C47" s="28">
        <f>Données_Planning!C45</f>
        <v>3</v>
      </c>
      <c r="D47" s="50">
        <f t="shared" si="0"/>
        <v>0.52152777777777781</v>
      </c>
      <c r="E47" s="51">
        <f t="shared" si="1"/>
        <v>0.54027777777777786</v>
      </c>
      <c r="F47" s="52">
        <f t="shared" si="2"/>
        <v>0.5409722222222223</v>
      </c>
      <c r="G47" s="47">
        <f>Données_Planning!L45</f>
        <v>0.54236111111111118</v>
      </c>
      <c r="H47" s="18" t="str">
        <f>Données_Planning!H45</f>
        <v>Les Cormorans 1</v>
      </c>
      <c r="I47" s="5">
        <f>Données_Planning!D45</f>
        <v>21</v>
      </c>
      <c r="J47" s="22" t="str">
        <f>Données_Planning!F45</f>
        <v>BRATANIC</v>
      </c>
      <c r="K47" s="22" t="str">
        <f>Données_Planning!E45</f>
        <v>Alexandre</v>
      </c>
      <c r="L47" s="35" t="str">
        <f>Données_Planning!G45</f>
        <v>H</v>
      </c>
      <c r="M47" s="37">
        <f>(IF(OR(A47="DWF",A47="DNF"),0,QUOTIENT(Données_Planning!J45,60)))</f>
        <v>0</v>
      </c>
      <c r="N47" s="7" t="str">
        <f t="shared" si="3"/>
        <v>min</v>
      </c>
      <c r="O47" s="36">
        <f>(IF(OR(A47="DWF",A47="DNF"),Données_Planning!J45,MOD(Données_Planning!J45,60)))</f>
        <v>45</v>
      </c>
      <c r="P47" s="28" t="str">
        <f t="shared" si="4"/>
        <v>s</v>
      </c>
      <c r="Q47" s="37">
        <f>(IF(OR(A47="DWF",A47="DNF"),0,QUOTIENT(Données_Planning!I45,60)))</f>
        <v>0</v>
      </c>
      <c r="R47" s="7" t="str">
        <f t="shared" si="5"/>
        <v>min</v>
      </c>
      <c r="S47" s="36">
        <f>(IF(OR(A47="DWF",A47="DNF"),Données_Planning!I45,MOD(Données_Planning!I45,60)))</f>
        <v>55</v>
      </c>
      <c r="T47" s="28" t="str">
        <f t="shared" si="6"/>
        <v>s</v>
      </c>
      <c r="U47" s="37">
        <f>(IF(OR(A47="DWF",A47="DNF"),0,QUOTIENT(Données_Planning!K45,60)))</f>
        <v>1</v>
      </c>
      <c r="V47" s="7" t="str">
        <f t="shared" si="7"/>
        <v>min</v>
      </c>
      <c r="W47" s="36">
        <f>(IF(OR(A47="DWF",A47="DNF"),Données_Planning!K45,MOD(Données_Planning!K45,60)))</f>
        <v>15</v>
      </c>
      <c r="X47" s="38" t="str">
        <f t="shared" si="8"/>
        <v>s</v>
      </c>
      <c r="Y47" s="42"/>
    </row>
    <row r="48" spans="1:25" ht="15.75" x14ac:dyDescent="0.25">
      <c r="A48" s="4" t="str">
        <f>Données_Planning!A46</f>
        <v>spd</v>
      </c>
      <c r="B48" s="6">
        <f>Données_Planning!B46</f>
        <v>2</v>
      </c>
      <c r="C48" s="28">
        <f>Données_Planning!C46</f>
        <v>4</v>
      </c>
      <c r="D48" s="50">
        <f t="shared" si="0"/>
        <v>0.52152777777777781</v>
      </c>
      <c r="E48" s="51">
        <f t="shared" si="1"/>
        <v>0.54027777777777786</v>
      </c>
      <c r="F48" s="52">
        <f t="shared" si="2"/>
        <v>0.5409722222222223</v>
      </c>
      <c r="G48" s="47">
        <f>Données_Planning!L46</f>
        <v>0.54236111111111118</v>
      </c>
      <c r="H48" s="18" t="str">
        <f>Données_Planning!H46</f>
        <v>LIMULES</v>
      </c>
      <c r="I48" s="5">
        <f>Données_Planning!D46</f>
        <v>32</v>
      </c>
      <c r="J48" s="22" t="str">
        <f>Données_Planning!F46</f>
        <v>BERRUCAZ</v>
      </c>
      <c r="K48" s="22" t="str">
        <f>Données_Planning!E46</f>
        <v>Stéphane</v>
      </c>
      <c r="L48" s="35" t="str">
        <f>Données_Planning!G46</f>
        <v>H</v>
      </c>
      <c r="M48" s="37">
        <f>(IF(OR(A48="DWF",A48="DNF"),0,QUOTIENT(Données_Planning!J46,60)))</f>
        <v>0</v>
      </c>
      <c r="N48" s="7" t="str">
        <f t="shared" si="3"/>
        <v>min</v>
      </c>
      <c r="O48" s="36">
        <f>(IF(OR(A48="DWF",A48="DNF"),Données_Planning!J46,MOD(Données_Planning!J46,60)))</f>
        <v>50</v>
      </c>
      <c r="P48" s="28" t="str">
        <f t="shared" si="4"/>
        <v>s</v>
      </c>
      <c r="Q48" s="37">
        <f>(IF(OR(A48="DWF",A48="DNF"),0,QUOTIENT(Données_Planning!I46,60)))</f>
        <v>1</v>
      </c>
      <c r="R48" s="7" t="str">
        <f t="shared" si="5"/>
        <v>min</v>
      </c>
      <c r="S48" s="36">
        <f>(IF(OR(A48="DWF",A48="DNF"),Données_Planning!I46,MOD(Données_Planning!I46,60)))</f>
        <v>0</v>
      </c>
      <c r="T48" s="28" t="str">
        <f t="shared" si="6"/>
        <v>s</v>
      </c>
      <c r="U48" s="37">
        <f>(IF(OR(A48="DWF",A48="DNF"),0,QUOTIENT(Données_Planning!K46,60)))</f>
        <v>1</v>
      </c>
      <c r="V48" s="7" t="str">
        <f t="shared" si="7"/>
        <v>min</v>
      </c>
      <c r="W48" s="36">
        <f>(IF(OR(A48="DWF",A48="DNF"),Données_Planning!K46,MOD(Données_Planning!K46,60)))</f>
        <v>20</v>
      </c>
      <c r="X48" s="38" t="str">
        <f t="shared" si="8"/>
        <v>s</v>
      </c>
      <c r="Y48" s="42"/>
    </row>
    <row r="49" spans="1:25" ht="15.75" x14ac:dyDescent="0.25">
      <c r="A49" s="4" t="str">
        <f>Données_Planning!A47</f>
        <v>spd</v>
      </c>
      <c r="B49" s="6">
        <f>Données_Planning!B47</f>
        <v>3</v>
      </c>
      <c r="C49" s="28">
        <f>Données_Planning!C47</f>
        <v>1</v>
      </c>
      <c r="D49" s="50">
        <f t="shared" si="0"/>
        <v>0.53749999999999998</v>
      </c>
      <c r="E49" s="51">
        <f t="shared" si="1"/>
        <v>0.55625000000000002</v>
      </c>
      <c r="F49" s="52">
        <f t="shared" si="2"/>
        <v>0.55694444444444446</v>
      </c>
      <c r="G49" s="47">
        <f>Données_Planning!L47</f>
        <v>0.55833333333333335</v>
      </c>
      <c r="H49" s="18" t="str">
        <f>Données_Planning!H47</f>
        <v>SavoyOuBien?</v>
      </c>
      <c r="I49" s="5">
        <f>Données_Planning!D47</f>
        <v>37</v>
      </c>
      <c r="J49" s="22" t="str">
        <f>Données_Planning!F47</f>
        <v>LANOISELIER</v>
      </c>
      <c r="K49" s="22" t="str">
        <f>Données_Planning!E47</f>
        <v>Aurélien</v>
      </c>
      <c r="L49" s="35" t="str">
        <f>Données_Planning!G47</f>
        <v>H</v>
      </c>
      <c r="M49" s="37">
        <f>(IF(OR(A49="DWF",A49="DNF"),0,QUOTIENT(Données_Planning!J47,60)))</f>
        <v>0</v>
      </c>
      <c r="N49" s="7" t="str">
        <f t="shared" si="3"/>
        <v>min</v>
      </c>
      <c r="O49" s="36">
        <f>(IF(OR(A49="DWF",A49="DNF"),Données_Planning!J47,MOD(Données_Planning!J47,60)))</f>
        <v>50</v>
      </c>
      <c r="P49" s="28" t="str">
        <f t="shared" si="4"/>
        <v>s</v>
      </c>
      <c r="Q49" s="37">
        <f>(IF(OR(A49="DWF",A49="DNF"),0,QUOTIENT(Données_Planning!I47,60)))</f>
        <v>1</v>
      </c>
      <c r="R49" s="7" t="str">
        <f t="shared" si="5"/>
        <v>min</v>
      </c>
      <c r="S49" s="36">
        <f>(IF(OR(A49="DWF",A49="DNF"),Données_Planning!I47,MOD(Données_Planning!I47,60)))</f>
        <v>0</v>
      </c>
      <c r="T49" s="28" t="str">
        <f t="shared" si="6"/>
        <v>s</v>
      </c>
      <c r="U49" s="37">
        <f>(IF(OR(A49="DWF",A49="DNF"),0,QUOTIENT(Données_Planning!K47,60)))</f>
        <v>1</v>
      </c>
      <c r="V49" s="7" t="str">
        <f t="shared" si="7"/>
        <v>min</v>
      </c>
      <c r="W49" s="36">
        <f>(IF(OR(A49="DWF",A49="DNF"),Données_Planning!K47,MOD(Données_Planning!K47,60)))</f>
        <v>20</v>
      </c>
      <c r="X49" s="38" t="str">
        <f t="shared" si="8"/>
        <v>s</v>
      </c>
      <c r="Y49" s="42"/>
    </row>
    <row r="50" spans="1:25" ht="15.75" x14ac:dyDescent="0.25">
      <c r="A50" s="4" t="str">
        <f>Données_Planning!A48</f>
        <v>spd</v>
      </c>
      <c r="B50" s="6">
        <f>Données_Planning!B48</f>
        <v>3</v>
      </c>
      <c r="C50" s="28">
        <f>Données_Planning!C48</f>
        <v>2</v>
      </c>
      <c r="D50" s="50">
        <f t="shared" si="0"/>
        <v>0.53749999999999998</v>
      </c>
      <c r="E50" s="51">
        <f t="shared" si="1"/>
        <v>0.55625000000000002</v>
      </c>
      <c r="F50" s="52">
        <f t="shared" si="2"/>
        <v>0.55694444444444446</v>
      </c>
      <c r="G50" s="47">
        <f>Données_Planning!L48</f>
        <v>0.55833333333333335</v>
      </c>
      <c r="H50" s="18" t="str">
        <f>Données_Planning!H48</f>
        <v>SavoyOuBien?</v>
      </c>
      <c r="I50" s="5">
        <f>Données_Planning!D48</f>
        <v>36</v>
      </c>
      <c r="J50" s="22" t="str">
        <f>Données_Planning!F48</f>
        <v>GUEHRIA</v>
      </c>
      <c r="K50" s="22" t="str">
        <f>Données_Planning!E48</f>
        <v>Réda</v>
      </c>
      <c r="L50" s="35" t="str">
        <f>Données_Planning!G48</f>
        <v>H</v>
      </c>
      <c r="M50" s="37">
        <f>(IF(OR(A50="DWF",A50="DNF"),0,QUOTIENT(Données_Planning!J48,60)))</f>
        <v>0</v>
      </c>
      <c r="N50" s="7" t="str">
        <f t="shared" si="3"/>
        <v>min</v>
      </c>
      <c r="O50" s="36">
        <f>(IF(OR(A50="DWF",A50="DNF"),Données_Planning!J48,MOD(Données_Planning!J48,60)))</f>
        <v>50</v>
      </c>
      <c r="P50" s="28" t="str">
        <f t="shared" si="4"/>
        <v>s</v>
      </c>
      <c r="Q50" s="37">
        <f>(IF(OR(A50="DWF",A50="DNF"),0,QUOTIENT(Données_Planning!I48,60)))</f>
        <v>1</v>
      </c>
      <c r="R50" s="7" t="str">
        <f t="shared" si="5"/>
        <v>min</v>
      </c>
      <c r="S50" s="36">
        <f>(IF(OR(A50="DWF",A50="DNF"),Données_Planning!I48,MOD(Données_Planning!I48,60)))</f>
        <v>0</v>
      </c>
      <c r="T50" s="28" t="str">
        <f t="shared" si="6"/>
        <v>s</v>
      </c>
      <c r="U50" s="37">
        <f>(IF(OR(A50="DWF",A50="DNF"),0,QUOTIENT(Données_Planning!K48,60)))</f>
        <v>1</v>
      </c>
      <c r="V50" s="7" t="str">
        <f t="shared" si="7"/>
        <v>min</v>
      </c>
      <c r="W50" s="36">
        <f>(IF(OR(A50="DWF",A50="DNF"),Données_Planning!K48,MOD(Données_Planning!K48,60)))</f>
        <v>20</v>
      </c>
      <c r="X50" s="38" t="str">
        <f t="shared" si="8"/>
        <v>s</v>
      </c>
      <c r="Y50" s="42"/>
    </row>
    <row r="51" spans="1:25" ht="15.75" x14ac:dyDescent="0.25">
      <c r="A51" s="4" t="str">
        <f>Données_Planning!A49</f>
        <v>spd</v>
      </c>
      <c r="B51" s="6">
        <f>Données_Planning!B49</f>
        <v>3</v>
      </c>
      <c r="C51" s="28">
        <f>Données_Planning!C49</f>
        <v>3</v>
      </c>
      <c r="D51" s="50">
        <f t="shared" si="0"/>
        <v>0.53749999999999998</v>
      </c>
      <c r="E51" s="51">
        <f t="shared" si="1"/>
        <v>0.55625000000000002</v>
      </c>
      <c r="F51" s="52">
        <f t="shared" si="2"/>
        <v>0.55694444444444446</v>
      </c>
      <c r="G51" s="47">
        <f>Données_Planning!L49</f>
        <v>0.55833333333333335</v>
      </c>
      <c r="H51" s="18" t="str">
        <f>Données_Planning!H49</f>
        <v>Les Cormorans 2</v>
      </c>
      <c r="I51" s="5">
        <f>Données_Planning!D49</f>
        <v>27</v>
      </c>
      <c r="J51" s="22" t="str">
        <f>Données_Planning!F49</f>
        <v>BRATANIC</v>
      </c>
      <c r="K51" s="22" t="str">
        <f>Données_Planning!E49</f>
        <v>Christopher</v>
      </c>
      <c r="L51" s="35" t="str">
        <f>Données_Planning!G49</f>
        <v>H</v>
      </c>
      <c r="M51" s="37">
        <f>(IF(OR(A51="DWF",A51="DNF"),0,QUOTIENT(Données_Planning!J49,60)))</f>
        <v>0</v>
      </c>
      <c r="N51" s="7" t="str">
        <f t="shared" si="3"/>
        <v>min</v>
      </c>
      <c r="O51" s="36">
        <f>(IF(OR(A51="DWF",A51="DNF"),Données_Planning!J49,MOD(Données_Planning!J49,60)))</f>
        <v>50</v>
      </c>
      <c r="P51" s="28" t="str">
        <f t="shared" si="4"/>
        <v>s</v>
      </c>
      <c r="Q51" s="37">
        <f>(IF(OR(A51="DWF",A51="DNF"),0,QUOTIENT(Données_Planning!I49,60)))</f>
        <v>1</v>
      </c>
      <c r="R51" s="7" t="str">
        <f t="shared" si="5"/>
        <v>min</v>
      </c>
      <c r="S51" s="36">
        <f>(IF(OR(A51="DWF",A51="DNF"),Données_Planning!I49,MOD(Données_Planning!I49,60)))</f>
        <v>0</v>
      </c>
      <c r="T51" s="28" t="str">
        <f t="shared" si="6"/>
        <v>s</v>
      </c>
      <c r="U51" s="37">
        <f>(IF(OR(A51="DWF",A51="DNF"),0,QUOTIENT(Données_Planning!K49,60)))</f>
        <v>1</v>
      </c>
      <c r="V51" s="7" t="str">
        <f t="shared" si="7"/>
        <v>min</v>
      </c>
      <c r="W51" s="36">
        <f>(IF(OR(A51="DWF",A51="DNF"),Données_Planning!K49,MOD(Données_Planning!K49,60)))</f>
        <v>20</v>
      </c>
      <c r="X51" s="38" t="str">
        <f t="shared" si="8"/>
        <v>s</v>
      </c>
      <c r="Y51" s="42"/>
    </row>
    <row r="52" spans="1:25" ht="15.75" x14ac:dyDescent="0.25">
      <c r="A52" s="4" t="str">
        <f>Données_Planning!A50</f>
        <v>spd</v>
      </c>
      <c r="B52" s="6">
        <f>Données_Planning!B50</f>
        <v>3</v>
      </c>
      <c r="C52" s="28">
        <f>Données_Planning!C50</f>
        <v>4</v>
      </c>
      <c r="D52" s="50">
        <f t="shared" si="0"/>
        <v>0.53749999999999998</v>
      </c>
      <c r="E52" s="51">
        <f t="shared" si="1"/>
        <v>0.55625000000000002</v>
      </c>
      <c r="F52" s="52">
        <f t="shared" si="2"/>
        <v>0.55694444444444446</v>
      </c>
      <c r="G52" s="47">
        <f>Données_Planning!L50</f>
        <v>0.55833333333333335</v>
      </c>
      <c r="H52" s="18" t="str">
        <f>Données_Planning!H50</f>
        <v>Sportpleizh</v>
      </c>
      <c r="I52" s="5">
        <f>Données_Planning!D50</f>
        <v>45</v>
      </c>
      <c r="J52" s="22" t="str">
        <f>Données_Planning!F50</f>
        <v>AUBRY</v>
      </c>
      <c r="K52" s="22" t="str">
        <f>Données_Planning!E50</f>
        <v>Pascale</v>
      </c>
      <c r="L52" s="35" t="str">
        <f>Données_Planning!G50</f>
        <v>H</v>
      </c>
      <c r="M52" s="37">
        <f>(IF(OR(A52="DWF",A52="DNF"),0,QUOTIENT(Données_Planning!J50,60)))</f>
        <v>0</v>
      </c>
      <c r="N52" s="7" t="str">
        <f t="shared" si="3"/>
        <v>min</v>
      </c>
      <c r="O52" s="36">
        <f>(IF(OR(A52="DWF",A52="DNF"),Données_Planning!J50,MOD(Données_Planning!J50,60)))</f>
        <v>55</v>
      </c>
      <c r="P52" s="28" t="str">
        <f t="shared" si="4"/>
        <v>s</v>
      </c>
      <c r="Q52" s="37">
        <f>(IF(OR(A52="DWF",A52="DNF"),0,QUOTIENT(Données_Planning!I50,60)))</f>
        <v>1</v>
      </c>
      <c r="R52" s="7" t="str">
        <f t="shared" si="5"/>
        <v>min</v>
      </c>
      <c r="S52" s="36">
        <f>(IF(OR(A52="DWF",A52="DNF"),Données_Planning!I50,MOD(Données_Planning!I50,60)))</f>
        <v>5</v>
      </c>
      <c r="T52" s="28" t="str">
        <f t="shared" si="6"/>
        <v>s</v>
      </c>
      <c r="U52" s="37">
        <f>(IF(OR(A52="DWF",A52="DNF"),0,QUOTIENT(Données_Planning!K50,60)))</f>
        <v>1</v>
      </c>
      <c r="V52" s="7" t="str">
        <f t="shared" si="7"/>
        <v>min</v>
      </c>
      <c r="W52" s="36">
        <f>(IF(OR(A52="DWF",A52="DNF"),Données_Planning!K50,MOD(Données_Planning!K50,60)))</f>
        <v>25</v>
      </c>
      <c r="X52" s="38" t="str">
        <f t="shared" si="8"/>
        <v>s</v>
      </c>
      <c r="Y52" s="42"/>
    </row>
    <row r="53" spans="1:25" ht="15.75" x14ac:dyDescent="0.25">
      <c r="A53" s="4" t="str">
        <f>Données_Planning!A51</f>
        <v>spd</v>
      </c>
      <c r="B53" s="6">
        <f>Données_Planning!B51</f>
        <v>4</v>
      </c>
      <c r="C53" s="28">
        <f>Données_Planning!C51</f>
        <v>1</v>
      </c>
      <c r="D53" s="50">
        <f t="shared" si="0"/>
        <v>0.55347222222222214</v>
      </c>
      <c r="E53" s="51">
        <f t="shared" si="1"/>
        <v>0.57222222222222219</v>
      </c>
      <c r="F53" s="52">
        <f t="shared" si="2"/>
        <v>0.57291666666666663</v>
      </c>
      <c r="G53" s="47">
        <f>Données_Planning!L51</f>
        <v>0.57430555555555551</v>
      </c>
      <c r="H53" s="18" t="str">
        <f>Données_Planning!H51</f>
        <v>Enjoy And Relax</v>
      </c>
      <c r="I53" s="5">
        <f>Données_Planning!D51</f>
        <v>12</v>
      </c>
      <c r="J53" s="22" t="str">
        <f>Données_Planning!F51</f>
        <v>SGARRA</v>
      </c>
      <c r="K53" s="22" t="str">
        <f>Données_Planning!E51</f>
        <v>Michel</v>
      </c>
      <c r="L53" s="35" t="str">
        <f>Données_Planning!G51</f>
        <v>H</v>
      </c>
      <c r="M53" s="37">
        <f>(IF(OR(A53="DWF",A53="DNF"),0,QUOTIENT(Données_Planning!J51,60)))</f>
        <v>1</v>
      </c>
      <c r="N53" s="7" t="str">
        <f t="shared" si="3"/>
        <v>min</v>
      </c>
      <c r="O53" s="36">
        <f>(IF(OR(A53="DWF",A53="DNF"),Données_Planning!J51,MOD(Données_Planning!J51,60)))</f>
        <v>0</v>
      </c>
      <c r="P53" s="28" t="str">
        <f t="shared" si="4"/>
        <v>s</v>
      </c>
      <c r="Q53" s="37">
        <f>(IF(OR(A53="DWF",A53="DNF"),0,QUOTIENT(Données_Planning!I51,60)))</f>
        <v>1</v>
      </c>
      <c r="R53" s="7" t="str">
        <f t="shared" si="5"/>
        <v>min</v>
      </c>
      <c r="S53" s="36">
        <f>(IF(OR(A53="DWF",A53="DNF"),Données_Planning!I51,MOD(Données_Planning!I51,60)))</f>
        <v>10</v>
      </c>
      <c r="T53" s="28" t="str">
        <f t="shared" si="6"/>
        <v>s</v>
      </c>
      <c r="U53" s="37">
        <f>(IF(OR(A53="DWF",A53="DNF"),0,QUOTIENT(Données_Planning!K51,60)))</f>
        <v>1</v>
      </c>
      <c r="V53" s="7" t="str">
        <f t="shared" si="7"/>
        <v>min</v>
      </c>
      <c r="W53" s="36">
        <f>(IF(OR(A53="DWF",A53="DNF"),Données_Planning!K51,MOD(Données_Planning!K51,60)))</f>
        <v>30</v>
      </c>
      <c r="X53" s="38" t="str">
        <f t="shared" si="8"/>
        <v>s</v>
      </c>
      <c r="Y53" s="42"/>
    </row>
    <row r="54" spans="1:25" ht="15.75" x14ac:dyDescent="0.25">
      <c r="A54" s="4" t="str">
        <f>Données_Planning!A52</f>
        <v>spd</v>
      </c>
      <c r="B54" s="6">
        <f>Données_Planning!B52</f>
        <v>4</v>
      </c>
      <c r="C54" s="28">
        <f>Données_Planning!C52</f>
        <v>2</v>
      </c>
      <c r="D54" s="50">
        <f t="shared" si="0"/>
        <v>0.55347222222222214</v>
      </c>
      <c r="E54" s="51">
        <f t="shared" si="1"/>
        <v>0.57222222222222219</v>
      </c>
      <c r="F54" s="52">
        <f t="shared" si="2"/>
        <v>0.57291666666666663</v>
      </c>
      <c r="G54" s="47">
        <f>Données_Planning!L52</f>
        <v>0.57430555555555551</v>
      </c>
      <c r="H54" s="18" t="str">
        <f>Données_Planning!H52</f>
        <v>CYRNEA</v>
      </c>
      <c r="I54" s="5">
        <f>Données_Planning!D52</f>
        <v>7</v>
      </c>
      <c r="J54" s="22" t="str">
        <f>Données_Planning!F52</f>
        <v>BORGAT</v>
      </c>
      <c r="K54" s="22" t="str">
        <f>Données_Planning!E52</f>
        <v>Anne</v>
      </c>
      <c r="L54" s="35" t="str">
        <f>Données_Planning!G52</f>
        <v>F</v>
      </c>
      <c r="M54" s="37">
        <f>(IF(OR(A54="DWF",A54="DNF"),0,QUOTIENT(Données_Planning!J52,60)))</f>
        <v>1</v>
      </c>
      <c r="N54" s="7" t="str">
        <f t="shared" si="3"/>
        <v>min</v>
      </c>
      <c r="O54" s="36">
        <f>(IF(OR(A54="DWF",A54="DNF"),Données_Planning!J52,MOD(Données_Planning!J52,60)))</f>
        <v>0</v>
      </c>
      <c r="P54" s="28" t="str">
        <f t="shared" si="4"/>
        <v>s</v>
      </c>
      <c r="Q54" s="37">
        <f>(IF(OR(A54="DWF",A54="DNF"),0,QUOTIENT(Données_Planning!I52,60)))</f>
        <v>1</v>
      </c>
      <c r="R54" s="7" t="str">
        <f t="shared" si="5"/>
        <v>min</v>
      </c>
      <c r="S54" s="36">
        <f>(IF(OR(A54="DWF",A54="DNF"),Données_Planning!I52,MOD(Données_Planning!I52,60)))</f>
        <v>10</v>
      </c>
      <c r="T54" s="28" t="str">
        <f t="shared" si="6"/>
        <v>s</v>
      </c>
      <c r="U54" s="37">
        <f>(IF(OR(A54="DWF",A54="DNF"),0,QUOTIENT(Données_Planning!K52,60)))</f>
        <v>1</v>
      </c>
      <c r="V54" s="7" t="str">
        <f t="shared" si="7"/>
        <v>min</v>
      </c>
      <c r="W54" s="36">
        <f>(IF(OR(A54="DWF",A54="DNF"),Données_Planning!K52,MOD(Données_Planning!K52,60)))</f>
        <v>30</v>
      </c>
      <c r="X54" s="38" t="str">
        <f t="shared" si="8"/>
        <v>s</v>
      </c>
      <c r="Y54" s="42"/>
    </row>
    <row r="55" spans="1:25" ht="15.75" x14ac:dyDescent="0.25">
      <c r="A55" s="4" t="str">
        <f>Données_Planning!A53</f>
        <v>spd</v>
      </c>
      <c r="B55" s="6">
        <f>Données_Planning!B53</f>
        <v>4</v>
      </c>
      <c r="C55" s="28">
        <f>Données_Planning!C53</f>
        <v>3</v>
      </c>
      <c r="D55" s="50">
        <f t="shared" si="0"/>
        <v>0.55347222222222214</v>
      </c>
      <c r="E55" s="51">
        <f t="shared" si="1"/>
        <v>0.57222222222222219</v>
      </c>
      <c r="F55" s="52">
        <f t="shared" si="2"/>
        <v>0.57291666666666663</v>
      </c>
      <c r="G55" s="47">
        <f>Données_Planning!L53</f>
        <v>0.57430555555555551</v>
      </c>
      <c r="H55" s="18" t="str">
        <f>Données_Planning!H53</f>
        <v>Les Cormorans 2</v>
      </c>
      <c r="I55" s="5">
        <f>Données_Planning!D53</f>
        <v>28</v>
      </c>
      <c r="J55" s="22" t="str">
        <f>Données_Planning!F53</f>
        <v>BUZET</v>
      </c>
      <c r="K55" s="22" t="str">
        <f>Données_Planning!E53</f>
        <v>François</v>
      </c>
      <c r="L55" s="35" t="str">
        <f>Données_Planning!G53</f>
        <v>H</v>
      </c>
      <c r="M55" s="37">
        <f>(IF(OR(A55="DWF",A55="DNF"),0,QUOTIENT(Données_Planning!J53,60)))</f>
        <v>1</v>
      </c>
      <c r="N55" s="7" t="str">
        <f t="shared" si="3"/>
        <v>min</v>
      </c>
      <c r="O55" s="36">
        <f>(IF(OR(A55="DWF",A55="DNF"),Données_Planning!J53,MOD(Données_Planning!J53,60)))</f>
        <v>5</v>
      </c>
      <c r="P55" s="28" t="str">
        <f t="shared" si="4"/>
        <v>s</v>
      </c>
      <c r="Q55" s="37">
        <f>(IF(OR(A55="DWF",A55="DNF"),0,QUOTIENT(Données_Planning!I53,60)))</f>
        <v>1</v>
      </c>
      <c r="R55" s="7" t="str">
        <f t="shared" si="5"/>
        <v>min</v>
      </c>
      <c r="S55" s="36">
        <f>(IF(OR(A55="DWF",A55="DNF"),Données_Planning!I53,MOD(Données_Planning!I53,60)))</f>
        <v>15</v>
      </c>
      <c r="T55" s="28" t="str">
        <f t="shared" si="6"/>
        <v>s</v>
      </c>
      <c r="U55" s="37">
        <f>(IF(OR(A55="DWF",A55="DNF"),0,QUOTIENT(Données_Planning!K53,60)))</f>
        <v>1</v>
      </c>
      <c r="V55" s="7" t="str">
        <f t="shared" si="7"/>
        <v>min</v>
      </c>
      <c r="W55" s="36">
        <f>(IF(OR(A55="DWF",A55="DNF"),Données_Planning!K53,MOD(Données_Planning!K53,60)))</f>
        <v>35</v>
      </c>
      <c r="X55" s="38" t="str">
        <f t="shared" si="8"/>
        <v>s</v>
      </c>
      <c r="Y55" s="42"/>
    </row>
    <row r="56" spans="1:25" ht="15.75" x14ac:dyDescent="0.25">
      <c r="A56" s="4" t="str">
        <f>Données_Planning!A54</f>
        <v>spd</v>
      </c>
      <c r="B56" s="6">
        <f>Données_Planning!B54</f>
        <v>4</v>
      </c>
      <c r="C56" s="28">
        <f>Données_Planning!C54</f>
        <v>4</v>
      </c>
      <c r="D56" s="50">
        <f t="shared" si="0"/>
        <v>0.55347222222222214</v>
      </c>
      <c r="E56" s="51">
        <f t="shared" si="1"/>
        <v>0.57222222222222219</v>
      </c>
      <c r="F56" s="52">
        <f t="shared" si="2"/>
        <v>0.57291666666666663</v>
      </c>
      <c r="G56" s="47">
        <f>Données_Planning!L54</f>
        <v>0.57430555555555551</v>
      </c>
      <c r="H56" s="18" t="str">
        <f>Données_Planning!H54</f>
        <v>Imashi</v>
      </c>
      <c r="I56" s="5">
        <f>Données_Planning!D54</f>
        <v>20</v>
      </c>
      <c r="J56" s="22" t="str">
        <f>Données_Planning!F54</f>
        <v>JAUFFRAUD</v>
      </c>
      <c r="K56" s="22" t="str">
        <f>Données_Planning!E54</f>
        <v>Richard</v>
      </c>
      <c r="L56" s="35" t="str">
        <f>Données_Planning!G54</f>
        <v>H</v>
      </c>
      <c r="M56" s="37">
        <f>(IF(OR(A56="DWF",A56="DNF"),0,QUOTIENT(Données_Planning!J54,60)))</f>
        <v>1</v>
      </c>
      <c r="N56" s="7" t="str">
        <f t="shared" si="3"/>
        <v>min</v>
      </c>
      <c r="O56" s="36">
        <f>(IF(OR(A56="DWF",A56="DNF"),Données_Planning!J54,MOD(Données_Planning!J54,60)))</f>
        <v>5</v>
      </c>
      <c r="P56" s="28" t="str">
        <f t="shared" si="4"/>
        <v>s</v>
      </c>
      <c r="Q56" s="37">
        <f>(IF(OR(A56="DWF",A56="DNF"),0,QUOTIENT(Données_Planning!I54,60)))</f>
        <v>1</v>
      </c>
      <c r="R56" s="7" t="str">
        <f t="shared" si="5"/>
        <v>min</v>
      </c>
      <c r="S56" s="36">
        <f>(IF(OR(A56="DWF",A56="DNF"),Données_Planning!I54,MOD(Données_Planning!I54,60)))</f>
        <v>15</v>
      </c>
      <c r="T56" s="28" t="str">
        <f t="shared" si="6"/>
        <v>s</v>
      </c>
      <c r="U56" s="37">
        <f>(IF(OR(A56="DWF",A56="DNF"),0,QUOTIENT(Données_Planning!K54,60)))</f>
        <v>1</v>
      </c>
      <c r="V56" s="7" t="str">
        <f t="shared" si="7"/>
        <v>min</v>
      </c>
      <c r="W56" s="36">
        <f>(IF(OR(A56="DWF",A56="DNF"),Données_Planning!K54,MOD(Données_Planning!K54,60)))</f>
        <v>35</v>
      </c>
      <c r="X56" s="38" t="str">
        <f t="shared" si="8"/>
        <v>s</v>
      </c>
      <c r="Y56" s="42"/>
    </row>
    <row r="57" spans="1:25" ht="15.75" x14ac:dyDescent="0.25">
      <c r="A57" s="4" t="str">
        <f>Données_Planning!A55</f>
        <v>spd</v>
      </c>
      <c r="B57" s="6">
        <f>Données_Planning!B55</f>
        <v>5</v>
      </c>
      <c r="C57" s="28">
        <f>Données_Planning!C55</f>
        <v>1</v>
      </c>
      <c r="D57" s="50">
        <f t="shared" si="0"/>
        <v>0.56944444444444442</v>
      </c>
      <c r="E57" s="51">
        <f t="shared" si="1"/>
        <v>0.58819444444444446</v>
      </c>
      <c r="F57" s="52">
        <f t="shared" si="2"/>
        <v>0.58888888888888891</v>
      </c>
      <c r="G57" s="47">
        <f>Données_Planning!L55</f>
        <v>0.59027777777777779</v>
      </c>
      <c r="H57" s="18" t="str">
        <f>Données_Planning!H55</f>
        <v>LIMULES</v>
      </c>
      <c r="I57" s="5">
        <f>Données_Planning!D55</f>
        <v>34</v>
      </c>
      <c r="J57" s="22" t="str">
        <f>Données_Planning!F55</f>
        <v>PETTENUZZO</v>
      </c>
      <c r="K57" s="22" t="str">
        <f>Données_Planning!E55</f>
        <v>Stéphane</v>
      </c>
      <c r="L57" s="35" t="str">
        <f>Données_Planning!G55</f>
        <v>H</v>
      </c>
      <c r="M57" s="37">
        <f>(IF(OR(A57="DWF",A57="DNF"),0,QUOTIENT(Données_Planning!J55,60)))</f>
        <v>1</v>
      </c>
      <c r="N57" s="7" t="str">
        <f t="shared" si="3"/>
        <v>min</v>
      </c>
      <c r="O57" s="36">
        <f>(IF(OR(A57="DWF",A57="DNF"),Données_Planning!J55,MOD(Données_Planning!J55,60)))</f>
        <v>15</v>
      </c>
      <c r="P57" s="28" t="str">
        <f t="shared" si="4"/>
        <v>s</v>
      </c>
      <c r="Q57" s="37">
        <f>(IF(OR(A57="DWF",A57="DNF"),0,QUOTIENT(Données_Planning!I55,60)))</f>
        <v>1</v>
      </c>
      <c r="R57" s="7" t="str">
        <f t="shared" si="5"/>
        <v>min</v>
      </c>
      <c r="S57" s="36">
        <f>(IF(OR(A57="DWF",A57="DNF"),Données_Planning!I55,MOD(Données_Planning!I55,60)))</f>
        <v>25</v>
      </c>
      <c r="T57" s="28" t="str">
        <f t="shared" si="6"/>
        <v>s</v>
      </c>
      <c r="U57" s="37">
        <f>(IF(OR(A57="DWF",A57="DNF"),0,QUOTIENT(Données_Planning!K55,60)))</f>
        <v>1</v>
      </c>
      <c r="V57" s="7" t="str">
        <f t="shared" si="7"/>
        <v>min</v>
      </c>
      <c r="W57" s="36">
        <f>(IF(OR(A57="DWF",A57="DNF"),Données_Planning!K55,MOD(Données_Planning!K55,60)))</f>
        <v>45</v>
      </c>
      <c r="X57" s="38" t="str">
        <f t="shared" si="8"/>
        <v>s</v>
      </c>
      <c r="Y57" s="42"/>
    </row>
    <row r="58" spans="1:25" ht="15.75" x14ac:dyDescent="0.25">
      <c r="A58" s="4" t="str">
        <f>Données_Planning!A56</f>
        <v>spd</v>
      </c>
      <c r="B58" s="6">
        <f>Données_Planning!B56</f>
        <v>5</v>
      </c>
      <c r="C58" s="28">
        <f>Données_Planning!C56</f>
        <v>2</v>
      </c>
      <c r="D58" s="50">
        <f t="shared" si="0"/>
        <v>0.56944444444444442</v>
      </c>
      <c r="E58" s="51">
        <f t="shared" si="1"/>
        <v>0.58819444444444446</v>
      </c>
      <c r="F58" s="52">
        <f t="shared" si="2"/>
        <v>0.58888888888888891</v>
      </c>
      <c r="G58" s="47">
        <f>Données_Planning!L56</f>
        <v>0.59027777777777779</v>
      </c>
      <c r="H58" s="18" t="str">
        <f>Données_Planning!H56</f>
        <v>SOLO</v>
      </c>
      <c r="I58" s="5">
        <f>Données_Planning!D56</f>
        <v>41</v>
      </c>
      <c r="J58" s="22" t="str">
        <f>Données_Planning!F56</f>
        <v>SALEH</v>
      </c>
      <c r="K58" s="22" t="str">
        <f>Données_Planning!E56</f>
        <v>Omr</v>
      </c>
      <c r="L58" s="35" t="str">
        <f>Données_Planning!G56</f>
        <v>H</v>
      </c>
      <c r="M58" s="37">
        <f>(IF(OR(A58="DWF",A58="DNF"),0,QUOTIENT(Données_Planning!J56,60)))</f>
        <v>1</v>
      </c>
      <c r="N58" s="7" t="str">
        <f t="shared" si="3"/>
        <v>min</v>
      </c>
      <c r="O58" s="36">
        <f>(IF(OR(A58="DWF",A58="DNF"),Données_Planning!J56,MOD(Données_Planning!J56,60)))</f>
        <v>30</v>
      </c>
      <c r="P58" s="28" t="str">
        <f t="shared" si="4"/>
        <v>s</v>
      </c>
      <c r="Q58" s="37">
        <f>(IF(OR(A58="DWF",A58="DNF"),0,QUOTIENT(Données_Planning!I56,60)))</f>
        <v>1</v>
      </c>
      <c r="R58" s="7" t="str">
        <f t="shared" si="5"/>
        <v>min</v>
      </c>
      <c r="S58" s="36">
        <f>(IF(OR(A58="DWF",A58="DNF"),Données_Planning!I56,MOD(Données_Planning!I56,60)))</f>
        <v>40</v>
      </c>
      <c r="T58" s="28" t="str">
        <f t="shared" si="6"/>
        <v>s</v>
      </c>
      <c r="U58" s="37">
        <f>(IF(OR(A58="DWF",A58="DNF"),0,QUOTIENT(Données_Planning!K56,60)))</f>
        <v>2</v>
      </c>
      <c r="V58" s="7" t="str">
        <f t="shared" si="7"/>
        <v>min</v>
      </c>
      <c r="W58" s="36">
        <f>(IF(OR(A58="DWF",A58="DNF"),Données_Planning!K56,MOD(Données_Planning!K56,60)))</f>
        <v>0</v>
      </c>
      <c r="X58" s="38" t="str">
        <f t="shared" si="8"/>
        <v>s</v>
      </c>
      <c r="Y58" s="42"/>
    </row>
    <row r="59" spans="1:25" ht="15.75" x14ac:dyDescent="0.25">
      <c r="A59" s="4" t="str">
        <f>Données_Planning!A57</f>
        <v>spd</v>
      </c>
      <c r="B59" s="6">
        <f>Données_Planning!B57</f>
        <v>5</v>
      </c>
      <c r="C59" s="28">
        <f>Données_Planning!C57</f>
        <v>3</v>
      </c>
      <c r="D59" s="50">
        <f t="shared" si="0"/>
        <v>0.56944444444444442</v>
      </c>
      <c r="E59" s="51">
        <f t="shared" si="1"/>
        <v>0.58819444444444446</v>
      </c>
      <c r="F59" s="52">
        <f t="shared" si="2"/>
        <v>0.58888888888888891</v>
      </c>
      <c r="G59" s="47">
        <f>Données_Planning!L57</f>
        <v>0.59027777777777779</v>
      </c>
      <c r="H59" s="18" t="str">
        <f>Données_Planning!H57</f>
        <v>Enjoy And Relax</v>
      </c>
      <c r="I59" s="5">
        <f>Données_Planning!D57</f>
        <v>15</v>
      </c>
      <c r="J59" s="22" t="str">
        <f>Données_Planning!F57</f>
        <v>DELICOURT</v>
      </c>
      <c r="K59" s="22" t="str">
        <f>Données_Planning!E57</f>
        <v>Stephanie</v>
      </c>
      <c r="L59" s="35" t="str">
        <f>Données_Planning!G57</f>
        <v>F</v>
      </c>
      <c r="M59" s="37">
        <f>(IF(OR(A59="DWF",A59="DNF"),0,QUOTIENT(Données_Planning!J57,60)))</f>
        <v>1</v>
      </c>
      <c r="N59" s="7" t="str">
        <f t="shared" si="3"/>
        <v>min</v>
      </c>
      <c r="O59" s="36">
        <f>(IF(OR(A59="DWF",A59="DNF"),Données_Planning!J57,MOD(Données_Planning!J57,60)))</f>
        <v>50</v>
      </c>
      <c r="P59" s="28" t="str">
        <f t="shared" si="4"/>
        <v>s</v>
      </c>
      <c r="Q59" s="37">
        <f>(IF(OR(A59="DWF",A59="DNF"),0,QUOTIENT(Données_Planning!I57,60)))</f>
        <v>2</v>
      </c>
      <c r="R59" s="7" t="str">
        <f t="shared" si="5"/>
        <v>min</v>
      </c>
      <c r="S59" s="36">
        <f>(IF(OR(A59="DWF",A59="DNF"),Données_Planning!I57,MOD(Données_Planning!I57,60)))</f>
        <v>0</v>
      </c>
      <c r="T59" s="28" t="str">
        <f t="shared" si="6"/>
        <v>s</v>
      </c>
      <c r="U59" s="37">
        <f>(IF(OR(A59="DWF",A59="DNF"),0,QUOTIENT(Données_Planning!K57,60)))</f>
        <v>2</v>
      </c>
      <c r="V59" s="7" t="str">
        <f t="shared" si="7"/>
        <v>min</v>
      </c>
      <c r="W59" s="36">
        <f>(IF(OR(A59="DWF",A59="DNF"),Données_Planning!K57,MOD(Données_Planning!K57,60)))</f>
        <v>20</v>
      </c>
      <c r="X59" s="38" t="str">
        <f t="shared" si="8"/>
        <v>s</v>
      </c>
      <c r="Y59" s="42"/>
    </row>
    <row r="60" spans="1:25" ht="15.75" x14ac:dyDescent="0.25">
      <c r="A60" s="4" t="str">
        <f>Données_Planning!A58</f>
        <v>dnf</v>
      </c>
      <c r="B60" s="6">
        <f>Données_Planning!B58</f>
        <v>1</v>
      </c>
      <c r="C60" s="28">
        <f>Données_Planning!C58</f>
        <v>1</v>
      </c>
      <c r="D60" s="50">
        <f t="shared" si="0"/>
        <v>0.59236111111111112</v>
      </c>
      <c r="E60" s="51">
        <f t="shared" si="1"/>
        <v>0.61111111111111116</v>
      </c>
      <c r="F60" s="52">
        <f t="shared" si="2"/>
        <v>0.6118055555555556</v>
      </c>
      <c r="G60" s="47">
        <f>Données_Planning!L58</f>
        <v>0.61319444444444449</v>
      </c>
      <c r="H60" s="18" t="str">
        <f>Données_Planning!H58</f>
        <v>Les Cormorans 2</v>
      </c>
      <c r="I60" s="5">
        <f>Données_Planning!D58</f>
        <v>30</v>
      </c>
      <c r="J60" s="22" t="str">
        <f>Données_Planning!F58</f>
        <v>REIN</v>
      </c>
      <c r="K60" s="22" t="str">
        <f>Données_Planning!E58</f>
        <v>Melissa</v>
      </c>
      <c r="L60" s="35" t="str">
        <f>Données_Planning!G58</f>
        <v>F</v>
      </c>
      <c r="M60" s="37">
        <f>(IF(OR(A60="DWF",A60="DNF"),0,QUOTIENT(Données_Planning!J58,60)))</f>
        <v>0</v>
      </c>
      <c r="N60" s="7">
        <f t="shared" si="3"/>
        <v>0</v>
      </c>
      <c r="O60" s="36">
        <f>(IF(OR(A60="DWF",A60="DNF"),Données_Planning!J58,MOD(Données_Planning!J58,60)))</f>
        <v>25</v>
      </c>
      <c r="P60" s="28" t="str">
        <f t="shared" si="4"/>
        <v>m</v>
      </c>
      <c r="Q60" s="37">
        <f>(IF(OR(A60="DWF",A60="DNF"),0,QUOTIENT(Données_Planning!I58,60)))</f>
        <v>0</v>
      </c>
      <c r="R60" s="7">
        <f t="shared" si="5"/>
        <v>0</v>
      </c>
      <c r="S60" s="36">
        <f>(IF(OR(A60="DWF",A60="DNF"),Données_Planning!I58,MOD(Données_Planning!I58,60)))</f>
        <v>50</v>
      </c>
      <c r="T60" s="28" t="str">
        <f t="shared" si="6"/>
        <v>m</v>
      </c>
      <c r="U60" s="37">
        <f>(IF(OR(A60="DWF",A60="DNF"),0,QUOTIENT(Données_Planning!K58,60)))</f>
        <v>0</v>
      </c>
      <c r="V60" s="7">
        <f t="shared" si="7"/>
        <v>0</v>
      </c>
      <c r="W60" s="36">
        <f>(IF(OR(A60="DWF",A60="DNF"),Données_Planning!K58,MOD(Données_Planning!K58,60)))</f>
        <v>75</v>
      </c>
      <c r="X60" s="38" t="str">
        <f t="shared" si="8"/>
        <v>m</v>
      </c>
      <c r="Y60" s="42"/>
    </row>
    <row r="61" spans="1:25" ht="15.75" x14ac:dyDescent="0.25">
      <c r="A61" s="4" t="str">
        <f>Données_Planning!A59</f>
        <v>dnf</v>
      </c>
      <c r="B61" s="6">
        <f>Données_Planning!B59</f>
        <v>1</v>
      </c>
      <c r="C61" s="28">
        <f>Données_Planning!C59</f>
        <v>2</v>
      </c>
      <c r="D61" s="50">
        <f t="shared" si="0"/>
        <v>0.59236111111111112</v>
      </c>
      <c r="E61" s="51">
        <f t="shared" si="1"/>
        <v>0.61111111111111116</v>
      </c>
      <c r="F61" s="52">
        <f t="shared" si="2"/>
        <v>0.6118055555555556</v>
      </c>
      <c r="G61" s="47">
        <f>Données_Planning!L59</f>
        <v>0.61319444444444449</v>
      </c>
      <c r="H61" s="18" t="str">
        <f>Données_Planning!H59</f>
        <v>Les Cormorans 1</v>
      </c>
      <c r="I61" s="5">
        <f>Données_Planning!D59</f>
        <v>25</v>
      </c>
      <c r="J61" s="22" t="str">
        <f>Données_Planning!F59</f>
        <v>QUERY</v>
      </c>
      <c r="K61" s="22" t="str">
        <f>Données_Planning!E59</f>
        <v>Michelle</v>
      </c>
      <c r="L61" s="35" t="str">
        <f>Données_Planning!G59</f>
        <v>F</v>
      </c>
      <c r="M61" s="37">
        <f>(IF(OR(A61="DWF",A61="DNF"),0,QUOTIENT(Données_Planning!J59,60)))</f>
        <v>0</v>
      </c>
      <c r="N61" s="7">
        <f t="shared" si="3"/>
        <v>0</v>
      </c>
      <c r="O61" s="36">
        <f>(IF(OR(A61="DWF",A61="DNF"),Données_Planning!J59,MOD(Données_Planning!J59,60)))</f>
        <v>28</v>
      </c>
      <c r="P61" s="28" t="str">
        <f t="shared" si="4"/>
        <v>m</v>
      </c>
      <c r="Q61" s="37">
        <f>(IF(OR(A61="DWF",A61="DNF"),0,QUOTIENT(Données_Planning!I59,60)))</f>
        <v>0</v>
      </c>
      <c r="R61" s="7">
        <f t="shared" si="5"/>
        <v>0</v>
      </c>
      <c r="S61" s="36">
        <f>(IF(OR(A61="DWF",A61="DNF"),Données_Planning!I59,MOD(Données_Planning!I59,60)))</f>
        <v>53</v>
      </c>
      <c r="T61" s="28" t="str">
        <f t="shared" si="6"/>
        <v>m</v>
      </c>
      <c r="U61" s="37">
        <f>(IF(OR(A61="DWF",A61="DNF"),0,QUOTIENT(Données_Planning!K59,60)))</f>
        <v>0</v>
      </c>
      <c r="V61" s="7">
        <f t="shared" si="7"/>
        <v>0</v>
      </c>
      <c r="W61" s="36">
        <f>(IF(OR(A61="DWF",A61="DNF"),Données_Planning!K59,MOD(Données_Planning!K59,60)))</f>
        <v>78</v>
      </c>
      <c r="X61" s="38" t="str">
        <f t="shared" si="8"/>
        <v>m</v>
      </c>
      <c r="Y61" s="42"/>
    </row>
    <row r="62" spans="1:25" ht="15.75" x14ac:dyDescent="0.25">
      <c r="A62" s="4" t="str">
        <f>Données_Planning!A60</f>
        <v>dnf</v>
      </c>
      <c r="B62" s="6">
        <f>Données_Planning!B60</f>
        <v>2</v>
      </c>
      <c r="C62" s="28">
        <f>Données_Planning!C60</f>
        <v>1</v>
      </c>
      <c r="D62" s="50">
        <f t="shared" si="0"/>
        <v>0.59861111111111109</v>
      </c>
      <c r="E62" s="51">
        <f t="shared" si="1"/>
        <v>0.61736111111111114</v>
      </c>
      <c r="F62" s="52">
        <f t="shared" si="2"/>
        <v>0.61805555555555558</v>
      </c>
      <c r="G62" s="47">
        <f>Données_Planning!L60</f>
        <v>0.61944444444444446</v>
      </c>
      <c r="H62" s="18" t="str">
        <f>Données_Planning!H60</f>
        <v>Les Cormorans 2</v>
      </c>
      <c r="I62" s="5">
        <f>Données_Planning!D60</f>
        <v>29</v>
      </c>
      <c r="J62" s="22" t="str">
        <f>Données_Planning!F60</f>
        <v>HERENT</v>
      </c>
      <c r="K62" s="22" t="str">
        <f>Données_Planning!E60</f>
        <v>Xavier</v>
      </c>
      <c r="L62" s="35" t="str">
        <f>Données_Planning!G60</f>
        <v>H</v>
      </c>
      <c r="M62" s="37">
        <f>(IF(OR(A62="DWF",A62="DNF"),0,QUOTIENT(Données_Planning!J60,60)))</f>
        <v>0</v>
      </c>
      <c r="N62" s="7">
        <f t="shared" si="3"/>
        <v>0</v>
      </c>
      <c r="O62" s="36">
        <f>(IF(OR(A62="DWF",A62="DNF"),Données_Planning!J60,MOD(Données_Planning!J60,60)))</f>
        <v>40</v>
      </c>
      <c r="P62" s="28" t="str">
        <f t="shared" si="4"/>
        <v>m</v>
      </c>
      <c r="Q62" s="37">
        <f>(IF(OR(A62="DWF",A62="DNF"),0,QUOTIENT(Données_Planning!I60,60)))</f>
        <v>0</v>
      </c>
      <c r="R62" s="7">
        <f t="shared" si="5"/>
        <v>0</v>
      </c>
      <c r="S62" s="36">
        <f>(IF(OR(A62="DWF",A62="DNF"),Données_Planning!I60,MOD(Données_Planning!I60,60)))</f>
        <v>65</v>
      </c>
      <c r="T62" s="28" t="str">
        <f t="shared" si="6"/>
        <v>m</v>
      </c>
      <c r="U62" s="37">
        <f>(IF(OR(A62="DWF",A62="DNF"),0,QUOTIENT(Données_Planning!K60,60)))</f>
        <v>0</v>
      </c>
      <c r="V62" s="7">
        <f t="shared" si="7"/>
        <v>0</v>
      </c>
      <c r="W62" s="36">
        <f>(IF(OR(A62="DWF",A62="DNF"),Données_Planning!K60,MOD(Données_Planning!K60,60)))</f>
        <v>90</v>
      </c>
      <c r="X62" s="38" t="str">
        <f t="shared" si="8"/>
        <v>m</v>
      </c>
      <c r="Y62" s="42"/>
    </row>
    <row r="63" spans="1:25" ht="15.75" x14ac:dyDescent="0.25">
      <c r="A63" s="4" t="str">
        <f>Données_Planning!A61</f>
        <v>dnf</v>
      </c>
      <c r="B63" s="6">
        <f>Données_Planning!B61</f>
        <v>2</v>
      </c>
      <c r="C63" s="28">
        <f>Données_Planning!C61</f>
        <v>2</v>
      </c>
      <c r="D63" s="50">
        <f t="shared" si="0"/>
        <v>0.59861111111111109</v>
      </c>
      <c r="E63" s="51">
        <f t="shared" si="1"/>
        <v>0.61736111111111114</v>
      </c>
      <c r="F63" s="52">
        <f t="shared" si="2"/>
        <v>0.61805555555555558</v>
      </c>
      <c r="G63" s="47">
        <f>Données_Planning!L61</f>
        <v>0.61944444444444446</v>
      </c>
      <c r="H63" s="18" t="str">
        <f>Données_Planning!H61</f>
        <v>Imashi</v>
      </c>
      <c r="I63" s="5">
        <f>Données_Planning!D61</f>
        <v>19</v>
      </c>
      <c r="J63" s="22" t="str">
        <f>Données_Planning!F61</f>
        <v>TISSOT</v>
      </c>
      <c r="K63" s="22" t="str">
        <f>Données_Planning!E61</f>
        <v>Charles</v>
      </c>
      <c r="L63" s="35" t="str">
        <f>Données_Planning!G61</f>
        <v>H</v>
      </c>
      <c r="M63" s="37">
        <f>(IF(OR(A63="DWF",A63="DNF"),0,QUOTIENT(Données_Planning!J61,60)))</f>
        <v>0</v>
      </c>
      <c r="N63" s="7">
        <f t="shared" si="3"/>
        <v>0</v>
      </c>
      <c r="O63" s="36">
        <f>(IF(OR(A63="DWF",A63="DNF"),Données_Planning!J61,MOD(Données_Planning!J61,60)))</f>
        <v>45</v>
      </c>
      <c r="P63" s="28" t="str">
        <f t="shared" si="4"/>
        <v>m</v>
      </c>
      <c r="Q63" s="37">
        <f>(IF(OR(A63="DWF",A63="DNF"),0,QUOTIENT(Données_Planning!I61,60)))</f>
        <v>0</v>
      </c>
      <c r="R63" s="7">
        <f t="shared" si="5"/>
        <v>0</v>
      </c>
      <c r="S63" s="36">
        <f>(IF(OR(A63="DWF",A63="DNF"),Données_Planning!I61,MOD(Données_Planning!I61,60)))</f>
        <v>70</v>
      </c>
      <c r="T63" s="28" t="str">
        <f t="shared" si="6"/>
        <v>m</v>
      </c>
      <c r="U63" s="37">
        <f>(IF(OR(A63="DWF",A63="DNF"),0,QUOTIENT(Données_Planning!K61,60)))</f>
        <v>0</v>
      </c>
      <c r="V63" s="7">
        <f t="shared" si="7"/>
        <v>0</v>
      </c>
      <c r="W63" s="36">
        <f>(IF(OR(A63="DWF",A63="DNF"),Données_Planning!K61,MOD(Données_Planning!K61,60)))</f>
        <v>95</v>
      </c>
      <c r="X63" s="38" t="str">
        <f t="shared" si="8"/>
        <v>m</v>
      </c>
      <c r="Y63" s="42"/>
    </row>
    <row r="64" spans="1:25" ht="15.75" x14ac:dyDescent="0.25">
      <c r="A64" s="4" t="str">
        <f>Données_Planning!A62</f>
        <v>dnf</v>
      </c>
      <c r="B64" s="6">
        <f>Données_Planning!B62</f>
        <v>3</v>
      </c>
      <c r="C64" s="28">
        <f>Données_Planning!C62</f>
        <v>1</v>
      </c>
      <c r="D64" s="50">
        <f t="shared" si="0"/>
        <v>0.60486111111111107</v>
      </c>
      <c r="E64" s="51">
        <f t="shared" si="1"/>
        <v>0.62361111111111112</v>
      </c>
      <c r="F64" s="52">
        <f t="shared" si="2"/>
        <v>0.62430555555555556</v>
      </c>
      <c r="G64" s="47">
        <f>Données_Planning!L62</f>
        <v>0.62569444444444444</v>
      </c>
      <c r="H64" s="18" t="str">
        <f>Données_Planning!H62</f>
        <v>CYRNEA</v>
      </c>
      <c r="I64" s="5">
        <f>Données_Planning!D62</f>
        <v>6</v>
      </c>
      <c r="J64" s="22" t="str">
        <f>Données_Planning!F62</f>
        <v>SOULA</v>
      </c>
      <c r="K64" s="22" t="str">
        <f>Données_Planning!E62</f>
        <v>jean-david</v>
      </c>
      <c r="L64" s="35" t="str">
        <f>Données_Planning!G62</f>
        <v>H</v>
      </c>
      <c r="M64" s="37">
        <f>(IF(OR(A64="DWF",A64="DNF"),0,QUOTIENT(Données_Planning!J62,60)))</f>
        <v>0</v>
      </c>
      <c r="N64" s="7">
        <f t="shared" si="3"/>
        <v>0</v>
      </c>
      <c r="O64" s="36">
        <f>(IF(OR(A64="DWF",A64="DNF"),Données_Planning!J62,MOD(Données_Planning!J62,60)))</f>
        <v>50</v>
      </c>
      <c r="P64" s="28" t="str">
        <f t="shared" si="4"/>
        <v>m</v>
      </c>
      <c r="Q64" s="37">
        <f>(IF(OR(A64="DWF",A64="DNF"),0,QUOTIENT(Données_Planning!I62,60)))</f>
        <v>0</v>
      </c>
      <c r="R64" s="7">
        <f t="shared" si="5"/>
        <v>0</v>
      </c>
      <c r="S64" s="36">
        <f>(IF(OR(A64="DWF",A64="DNF"),Données_Planning!I62,MOD(Données_Planning!I62,60)))</f>
        <v>75</v>
      </c>
      <c r="T64" s="28" t="str">
        <f t="shared" si="6"/>
        <v>m</v>
      </c>
      <c r="U64" s="37">
        <f>(IF(OR(A64="DWF",A64="DNF"),0,QUOTIENT(Données_Planning!K62,60)))</f>
        <v>0</v>
      </c>
      <c r="V64" s="7">
        <f t="shared" si="7"/>
        <v>0</v>
      </c>
      <c r="W64" s="36">
        <f>(IF(OR(A64="DWF",A64="DNF"),Données_Planning!K62,MOD(Données_Planning!K62,60)))</f>
        <v>100</v>
      </c>
      <c r="X64" s="38" t="str">
        <f t="shared" si="8"/>
        <v>m</v>
      </c>
      <c r="Y64" s="42"/>
    </row>
    <row r="65" spans="1:25" ht="15.75" x14ac:dyDescent="0.25">
      <c r="A65" s="4" t="str">
        <f>Données_Planning!A63</f>
        <v>dnf</v>
      </c>
      <c r="B65" s="6">
        <f>Données_Planning!B63</f>
        <v>3</v>
      </c>
      <c r="C65" s="28">
        <f>Données_Planning!C63</f>
        <v>2</v>
      </c>
      <c r="D65" s="50">
        <f t="shared" si="0"/>
        <v>0.60486111111111107</v>
      </c>
      <c r="E65" s="51">
        <f t="shared" si="1"/>
        <v>0.62361111111111112</v>
      </c>
      <c r="F65" s="52">
        <f t="shared" si="2"/>
        <v>0.62430555555555556</v>
      </c>
      <c r="G65" s="47">
        <f>Données_Planning!L63</f>
        <v>0.62569444444444444</v>
      </c>
      <c r="H65" s="18" t="str">
        <f>Données_Planning!H63</f>
        <v>CYRNEA</v>
      </c>
      <c r="I65" s="5">
        <f>Données_Planning!D63</f>
        <v>8</v>
      </c>
      <c r="J65" s="22" t="str">
        <f>Données_Planning!F63</f>
        <v>RIGAUD</v>
      </c>
      <c r="K65" s="22" t="str">
        <f>Données_Planning!E63</f>
        <v>Estelle</v>
      </c>
      <c r="L65" s="35" t="str">
        <f>Données_Planning!G63</f>
        <v>F</v>
      </c>
      <c r="M65" s="37">
        <f>(IF(OR(A65="DWF",A65="DNF"),0,QUOTIENT(Données_Planning!J63,60)))</f>
        <v>0</v>
      </c>
      <c r="N65" s="7">
        <f t="shared" si="3"/>
        <v>0</v>
      </c>
      <c r="O65" s="36">
        <f>(IF(OR(A65="DWF",A65="DNF"),Données_Planning!J63,MOD(Données_Planning!J63,60)))</f>
        <v>50</v>
      </c>
      <c r="P65" s="28" t="str">
        <f t="shared" si="4"/>
        <v>m</v>
      </c>
      <c r="Q65" s="37">
        <f>(IF(OR(A65="DWF",A65="DNF"),0,QUOTIENT(Données_Planning!I63,60)))</f>
        <v>0</v>
      </c>
      <c r="R65" s="7">
        <f t="shared" si="5"/>
        <v>0</v>
      </c>
      <c r="S65" s="36">
        <f>(IF(OR(A65="DWF",A65="DNF"),Données_Planning!I63,MOD(Données_Planning!I63,60)))</f>
        <v>75</v>
      </c>
      <c r="T65" s="28" t="str">
        <f t="shared" si="6"/>
        <v>m</v>
      </c>
      <c r="U65" s="37">
        <f>(IF(OR(A65="DWF",A65="DNF"),0,QUOTIENT(Données_Planning!K63,60)))</f>
        <v>0</v>
      </c>
      <c r="V65" s="7">
        <f t="shared" si="7"/>
        <v>0</v>
      </c>
      <c r="W65" s="36">
        <f>(IF(OR(A65="DWF",A65="DNF"),Données_Planning!K63,MOD(Données_Planning!K63,60)))</f>
        <v>100</v>
      </c>
      <c r="X65" s="38" t="str">
        <f t="shared" si="8"/>
        <v>m</v>
      </c>
      <c r="Y65" s="42"/>
    </row>
    <row r="66" spans="1:25" ht="15.75" x14ac:dyDescent="0.25">
      <c r="A66" s="4" t="str">
        <f>Données_Planning!A64</f>
        <v>dnf</v>
      </c>
      <c r="B66" s="6">
        <f>Données_Planning!B64</f>
        <v>4</v>
      </c>
      <c r="C66" s="28">
        <f>Données_Planning!C64</f>
        <v>1</v>
      </c>
      <c r="D66" s="50">
        <f t="shared" si="0"/>
        <v>0.61111111111111105</v>
      </c>
      <c r="E66" s="51">
        <f t="shared" si="1"/>
        <v>0.62986111111111109</v>
      </c>
      <c r="F66" s="52">
        <f t="shared" si="2"/>
        <v>0.63055555555555554</v>
      </c>
      <c r="G66" s="47">
        <f>Données_Planning!L64</f>
        <v>0.63194444444444442</v>
      </c>
      <c r="H66" s="18" t="str">
        <f>Données_Planning!H64</f>
        <v>LIMULES</v>
      </c>
      <c r="I66" s="5">
        <f>Données_Planning!D64</f>
        <v>35</v>
      </c>
      <c r="J66" s="22" t="str">
        <f>Données_Planning!F64</f>
        <v>DEVANLAY</v>
      </c>
      <c r="K66" s="22" t="str">
        <f>Données_Planning!E64</f>
        <v>Marie</v>
      </c>
      <c r="L66" s="35" t="str">
        <f>Données_Planning!G64</f>
        <v>F</v>
      </c>
      <c r="M66" s="37">
        <f>(IF(OR(A66="DWF",A66="DNF"),0,QUOTIENT(Données_Planning!J64,60)))</f>
        <v>0</v>
      </c>
      <c r="N66" s="7">
        <f t="shared" si="3"/>
        <v>0</v>
      </c>
      <c r="O66" s="36">
        <f>(IF(OR(A66="DWF",A66="DNF"),Données_Planning!J64,MOD(Données_Planning!J64,60)))</f>
        <v>65</v>
      </c>
      <c r="P66" s="28" t="str">
        <f t="shared" si="4"/>
        <v>m</v>
      </c>
      <c r="Q66" s="37">
        <f>(IF(OR(A66="DWF",A66="DNF"),0,QUOTIENT(Données_Planning!I64,60)))</f>
        <v>0</v>
      </c>
      <c r="R66" s="7">
        <f t="shared" si="5"/>
        <v>0</v>
      </c>
      <c r="S66" s="36">
        <f>(IF(OR(A66="DWF",A66="DNF"),Données_Planning!I64,MOD(Données_Planning!I64,60)))</f>
        <v>90</v>
      </c>
      <c r="T66" s="28" t="str">
        <f t="shared" si="6"/>
        <v>m</v>
      </c>
      <c r="U66" s="37">
        <f>(IF(OR(A66="DWF",A66="DNF"),0,QUOTIENT(Données_Planning!K64,60)))</f>
        <v>0</v>
      </c>
      <c r="V66" s="7">
        <f t="shared" si="7"/>
        <v>0</v>
      </c>
      <c r="W66" s="36">
        <f>(IF(OR(A66="DWF",A66="DNF"),Données_Planning!K64,MOD(Données_Planning!K64,60)))</f>
        <v>115</v>
      </c>
      <c r="X66" s="38" t="str">
        <f t="shared" si="8"/>
        <v>m</v>
      </c>
      <c r="Y66" s="42"/>
    </row>
    <row r="67" spans="1:25" ht="15.75" x14ac:dyDescent="0.25">
      <c r="A67" s="4" t="str">
        <f>Données_Planning!A65</f>
        <v>dnf</v>
      </c>
      <c r="B67" s="6">
        <f>Données_Planning!B65</f>
        <v>4</v>
      </c>
      <c r="C67" s="28">
        <f>Données_Planning!C65</f>
        <v>2</v>
      </c>
      <c r="D67" s="50">
        <f t="shared" si="0"/>
        <v>0.61111111111111105</v>
      </c>
      <c r="E67" s="51">
        <f t="shared" si="1"/>
        <v>0.62986111111111109</v>
      </c>
      <c r="F67" s="52">
        <f t="shared" si="2"/>
        <v>0.63055555555555554</v>
      </c>
      <c r="G67" s="47">
        <f>Données_Planning!L65</f>
        <v>0.63194444444444442</v>
      </c>
      <c r="H67" s="18" t="str">
        <f>Données_Planning!H65</f>
        <v>Imashi</v>
      </c>
      <c r="I67" s="5">
        <f>Données_Planning!D65</f>
        <v>17</v>
      </c>
      <c r="J67" s="22" t="str">
        <f>Données_Planning!F65</f>
        <v>REGNARD</v>
      </c>
      <c r="K67" s="22" t="str">
        <f>Données_Planning!E65</f>
        <v>Caroline</v>
      </c>
      <c r="L67" s="35" t="str">
        <f>Données_Planning!G65</f>
        <v>F</v>
      </c>
      <c r="M67" s="37">
        <f>(IF(OR(A67="DWF",A67="DNF"),0,QUOTIENT(Données_Planning!J65,60)))</f>
        <v>0</v>
      </c>
      <c r="N67" s="7">
        <f t="shared" si="3"/>
        <v>0</v>
      </c>
      <c r="O67" s="36">
        <f>(IF(OR(A67="DWF",A67="DNF"),Données_Planning!J65,MOD(Données_Planning!J65,60)))</f>
        <v>67</v>
      </c>
      <c r="P67" s="28" t="str">
        <f t="shared" si="4"/>
        <v>m</v>
      </c>
      <c r="Q67" s="37">
        <f>(IF(OR(A67="DWF",A67="DNF"),0,QUOTIENT(Données_Planning!I65,60)))</f>
        <v>0</v>
      </c>
      <c r="R67" s="7">
        <f t="shared" si="5"/>
        <v>0</v>
      </c>
      <c r="S67" s="36">
        <f>(IF(OR(A67="DWF",A67="DNF"),Données_Planning!I65,MOD(Données_Planning!I65,60)))</f>
        <v>92</v>
      </c>
      <c r="T67" s="28" t="str">
        <f t="shared" si="6"/>
        <v>m</v>
      </c>
      <c r="U67" s="37">
        <f>(IF(OR(A67="DWF",A67="DNF"),0,QUOTIENT(Données_Planning!K65,60)))</f>
        <v>0</v>
      </c>
      <c r="V67" s="7">
        <f t="shared" si="7"/>
        <v>0</v>
      </c>
      <c r="W67" s="36">
        <f>(IF(OR(A67="DWF",A67="DNF"),Données_Planning!K65,MOD(Données_Planning!K65,60)))</f>
        <v>117</v>
      </c>
      <c r="X67" s="38" t="str">
        <f t="shared" si="8"/>
        <v>m</v>
      </c>
      <c r="Y67" s="42"/>
    </row>
    <row r="68" spans="1:25" ht="15.75" x14ac:dyDescent="0.25">
      <c r="A68" s="4" t="str">
        <f>Données_Planning!A66</f>
        <v>dnf</v>
      </c>
      <c r="B68" s="6">
        <f>Données_Planning!B66</f>
        <v>5</v>
      </c>
      <c r="C68" s="28">
        <f>Données_Planning!C66</f>
        <v>1</v>
      </c>
      <c r="D68" s="50">
        <f t="shared" si="0"/>
        <v>0.61736111111111103</v>
      </c>
      <c r="E68" s="51">
        <f t="shared" si="1"/>
        <v>0.63611111111111107</v>
      </c>
      <c r="F68" s="52">
        <f t="shared" si="2"/>
        <v>0.63680555555555551</v>
      </c>
      <c r="G68" s="47">
        <f>Données_Planning!L66</f>
        <v>0.6381944444444444</v>
      </c>
      <c r="H68" s="18" t="str">
        <f>Données_Planning!H66</f>
        <v>Apneaman, Praha, Czech Republic</v>
      </c>
      <c r="I68" s="5">
        <f>Données_Planning!D66</f>
        <v>5</v>
      </c>
      <c r="J68" s="22" t="str">
        <f>Données_Planning!F66</f>
        <v>SKROBOVA</v>
      </c>
      <c r="K68" s="22" t="str">
        <f>Données_Planning!E66</f>
        <v>Jana</v>
      </c>
      <c r="L68" s="35" t="str">
        <f>Données_Planning!G66</f>
        <v>F</v>
      </c>
      <c r="M68" s="37">
        <f>(IF(OR(A68="DWF",A68="DNF"),0,QUOTIENT(Données_Planning!J66,60)))</f>
        <v>0</v>
      </c>
      <c r="N68" s="7">
        <f t="shared" si="3"/>
        <v>0</v>
      </c>
      <c r="O68" s="36">
        <f>(IF(OR(A68="DWF",A68="DNF"),Données_Planning!J66,MOD(Données_Planning!J66,60)))</f>
        <v>70</v>
      </c>
      <c r="P68" s="28" t="str">
        <f t="shared" si="4"/>
        <v>m</v>
      </c>
      <c r="Q68" s="37">
        <f>(IF(OR(A68="DWF",A68="DNF"),0,QUOTIENT(Données_Planning!I66,60)))</f>
        <v>0</v>
      </c>
      <c r="R68" s="7">
        <f t="shared" si="5"/>
        <v>0</v>
      </c>
      <c r="S68" s="36">
        <f>(IF(OR(A68="DWF",A68="DNF"),Données_Planning!I66,MOD(Données_Planning!I66,60)))</f>
        <v>95</v>
      </c>
      <c r="T68" s="28" t="str">
        <f t="shared" si="6"/>
        <v>m</v>
      </c>
      <c r="U68" s="37">
        <f>(IF(OR(A68="DWF",A68="DNF"),0,QUOTIENT(Données_Planning!K66,60)))</f>
        <v>0</v>
      </c>
      <c r="V68" s="7">
        <f t="shared" si="7"/>
        <v>0</v>
      </c>
      <c r="W68" s="36">
        <f>(IF(OR(A68="DWF",A68="DNF"),Données_Planning!K66,MOD(Données_Planning!K66,60)))</f>
        <v>120</v>
      </c>
      <c r="X68" s="38" t="str">
        <f t="shared" si="8"/>
        <v>m</v>
      </c>
      <c r="Y68" s="42"/>
    </row>
    <row r="69" spans="1:25" ht="15.75" x14ac:dyDescent="0.25">
      <c r="A69" s="4" t="str">
        <f>Données_Planning!A67</f>
        <v>dnf</v>
      </c>
      <c r="B69" s="6">
        <f>Données_Planning!B67</f>
        <v>5</v>
      </c>
      <c r="C69" s="28">
        <f>Données_Planning!C67</f>
        <v>2</v>
      </c>
      <c r="D69" s="50">
        <f t="shared" ref="D69:D132" si="9">IF(G69 -TIME(0,$D$3,0)&gt;0, G69 -TIME(0,$D$3,0), 0)</f>
        <v>0.61736111111111103</v>
      </c>
      <c r="E69" s="51">
        <f t="shared" ref="E69:E132" si="10">IF(G69 -TIME(0,$E$3,0)&gt;0, G69 -TIME(0,$E$3,0), 0)</f>
        <v>0.63611111111111107</v>
      </c>
      <c r="F69" s="52">
        <f t="shared" ref="F69:F132" si="11">IF(G69 -TIME(0,$F$3,0)&gt;0, G69 -TIME(0,$F$3,0), 0)</f>
        <v>0.63680555555555551</v>
      </c>
      <c r="G69" s="47">
        <f>Données_Planning!L67</f>
        <v>0.6381944444444444</v>
      </c>
      <c r="H69" s="18" t="str">
        <f>Données_Planning!H67</f>
        <v>Les Cormorans 1</v>
      </c>
      <c r="I69" s="5">
        <f>Données_Planning!D67</f>
        <v>24</v>
      </c>
      <c r="J69" s="22" t="str">
        <f>Données_Planning!F67</f>
        <v>HARTMANN</v>
      </c>
      <c r="K69" s="22" t="str">
        <f>Données_Planning!E67</f>
        <v>Loraine</v>
      </c>
      <c r="L69" s="35" t="str">
        <f>Données_Planning!G67</f>
        <v>F</v>
      </c>
      <c r="M69" s="37">
        <f>(IF(OR(A69="DWF",A69="DNF"),0,QUOTIENT(Données_Planning!J67,60)))</f>
        <v>0</v>
      </c>
      <c r="N69" s="7">
        <f t="shared" ref="N69:N132" si="12">(IF(OR(A69="DWF",A69="DNF"),0,"min"))</f>
        <v>0</v>
      </c>
      <c r="O69" s="36">
        <f>(IF(OR(A69="DWF",A69="DNF"),Données_Planning!J67,MOD(Données_Planning!J67,60)))</f>
        <v>75</v>
      </c>
      <c r="P69" s="28" t="str">
        <f t="shared" ref="P69:P132" si="13">(IF(OR(A69="DWF",A69="DNF"),"m","s"))</f>
        <v>m</v>
      </c>
      <c r="Q69" s="37">
        <f>(IF(OR(A69="DWF",A69="DNF"),0,QUOTIENT(Données_Planning!I67,60)))</f>
        <v>0</v>
      </c>
      <c r="R69" s="7">
        <f t="shared" ref="R69:R132" si="14">(IF(OR(A69="DWF",A69="DNF"),0,"min"))</f>
        <v>0</v>
      </c>
      <c r="S69" s="36">
        <f>(IF(OR(A69="DWF",A69="DNF"),Données_Planning!I67,MOD(Données_Planning!I67,60)))</f>
        <v>100</v>
      </c>
      <c r="T69" s="28" t="str">
        <f t="shared" ref="T69:T132" si="15">(IF(OR(A69="DWF",A69="DNF"),"m","s"))</f>
        <v>m</v>
      </c>
      <c r="U69" s="37">
        <f>(IF(OR(A69="DWF",A69="DNF"),0,QUOTIENT(Données_Planning!K67,60)))</f>
        <v>0</v>
      </c>
      <c r="V69" s="7">
        <f t="shared" ref="V69:V132" si="16">(IF(OR(A69="DWF",A69="DNF"),0,"min"))</f>
        <v>0</v>
      </c>
      <c r="W69" s="36">
        <f>(IF(OR(A69="DWF",A69="DNF"),Données_Planning!K67,MOD(Données_Planning!K67,60)))</f>
        <v>125</v>
      </c>
      <c r="X69" s="38" t="str">
        <f t="shared" ref="X69:X132" si="17">(IF(OR(A69="DWF",A69="DNF"),"m","s"))</f>
        <v>m</v>
      </c>
      <c r="Y69" s="42"/>
    </row>
    <row r="70" spans="1:25" ht="15.75" x14ac:dyDescent="0.25">
      <c r="A70" s="4" t="str">
        <f>Données_Planning!A68</f>
        <v>dnf</v>
      </c>
      <c r="B70" s="6">
        <f>Données_Planning!B68</f>
        <v>6</v>
      </c>
      <c r="C70" s="28">
        <f>Données_Planning!C68</f>
        <v>1</v>
      </c>
      <c r="D70" s="50">
        <f t="shared" si="9"/>
        <v>0.62361111111111112</v>
      </c>
      <c r="E70" s="51">
        <f t="shared" si="10"/>
        <v>0.64236111111111116</v>
      </c>
      <c r="F70" s="52">
        <f t="shared" si="11"/>
        <v>0.6430555555555556</v>
      </c>
      <c r="G70" s="47">
        <f>Données_Planning!L68</f>
        <v>0.64444444444444449</v>
      </c>
      <c r="H70" s="18" t="str">
        <f>Données_Planning!H68</f>
        <v>Sportpleizh</v>
      </c>
      <c r="I70" s="5">
        <f>Données_Planning!D68</f>
        <v>43</v>
      </c>
      <c r="J70" s="22" t="str">
        <f>Données_Planning!F68</f>
        <v>ORSKI SIMONET</v>
      </c>
      <c r="K70" s="22" t="str">
        <f>Données_Planning!E68</f>
        <v>Laetitia</v>
      </c>
      <c r="L70" s="35" t="str">
        <f>Données_Planning!G68</f>
        <v>F</v>
      </c>
      <c r="M70" s="37">
        <f>(IF(OR(A70="DWF",A70="DNF"),0,QUOTIENT(Données_Planning!J68,60)))</f>
        <v>0</v>
      </c>
      <c r="N70" s="7">
        <f t="shared" si="12"/>
        <v>0</v>
      </c>
      <c r="O70" s="36">
        <f>(IF(OR(A70="DWF",A70="DNF"),Données_Planning!J68,MOD(Données_Planning!J68,60)))</f>
        <v>75</v>
      </c>
      <c r="P70" s="28" t="str">
        <f t="shared" si="13"/>
        <v>m</v>
      </c>
      <c r="Q70" s="37">
        <f>(IF(OR(A70="DWF",A70="DNF"),0,QUOTIENT(Données_Planning!I68,60)))</f>
        <v>0</v>
      </c>
      <c r="R70" s="7">
        <f t="shared" si="14"/>
        <v>0</v>
      </c>
      <c r="S70" s="36">
        <f>(IF(OR(A70="DWF",A70="DNF"),Données_Planning!I68,MOD(Données_Planning!I68,60)))</f>
        <v>100</v>
      </c>
      <c r="T70" s="28" t="str">
        <f t="shared" si="15"/>
        <v>m</v>
      </c>
      <c r="U70" s="37">
        <f>(IF(OR(A70="DWF",A70="DNF"),0,QUOTIENT(Données_Planning!K68,60)))</f>
        <v>0</v>
      </c>
      <c r="V70" s="7">
        <f t="shared" si="16"/>
        <v>0</v>
      </c>
      <c r="W70" s="36">
        <f>(IF(OR(A70="DWF",A70="DNF"),Données_Planning!K68,MOD(Données_Planning!K68,60)))</f>
        <v>125</v>
      </c>
      <c r="X70" s="38" t="str">
        <f t="shared" si="17"/>
        <v>m</v>
      </c>
      <c r="Y70" s="42"/>
    </row>
    <row r="71" spans="1:25" ht="15.75" x14ac:dyDescent="0.25">
      <c r="A71" s="4" t="str">
        <f>Données_Planning!A69</f>
        <v>dnf</v>
      </c>
      <c r="B71" s="6">
        <f>Données_Planning!B69</f>
        <v>6</v>
      </c>
      <c r="C71" s="28">
        <f>Données_Planning!C69</f>
        <v>2</v>
      </c>
      <c r="D71" s="50">
        <f t="shared" si="9"/>
        <v>0.62361111111111112</v>
      </c>
      <c r="E71" s="51">
        <f t="shared" si="10"/>
        <v>0.64236111111111116</v>
      </c>
      <c r="F71" s="52">
        <f t="shared" si="11"/>
        <v>0.6430555555555556</v>
      </c>
      <c r="G71" s="47">
        <f>Données_Planning!L69</f>
        <v>0.64444444444444449</v>
      </c>
      <c r="H71" s="18" t="str">
        <f>Données_Planning!H69</f>
        <v>Enjoy And Relax</v>
      </c>
      <c r="I71" s="5">
        <f>Données_Planning!D69</f>
        <v>14</v>
      </c>
      <c r="J71" s="22" t="str">
        <f>Données_Planning!F69</f>
        <v>GATA</v>
      </c>
      <c r="K71" s="22" t="str">
        <f>Données_Planning!E69</f>
        <v>Aude</v>
      </c>
      <c r="L71" s="35" t="str">
        <f>Données_Planning!G69</f>
        <v>F</v>
      </c>
      <c r="M71" s="37">
        <f>(IF(OR(A71="DWF",A71="DNF"),0,QUOTIENT(Données_Planning!J69,60)))</f>
        <v>0</v>
      </c>
      <c r="N71" s="7">
        <f t="shared" si="12"/>
        <v>0</v>
      </c>
      <c r="O71" s="36">
        <f>(IF(OR(A71="DWF",A71="DNF"),Données_Planning!J69,MOD(Données_Planning!J69,60)))</f>
        <v>75</v>
      </c>
      <c r="P71" s="28" t="str">
        <f t="shared" si="13"/>
        <v>m</v>
      </c>
      <c r="Q71" s="37">
        <f>(IF(OR(A71="DWF",A71="DNF"),0,QUOTIENT(Données_Planning!I69,60)))</f>
        <v>0</v>
      </c>
      <c r="R71" s="7">
        <f t="shared" si="14"/>
        <v>0</v>
      </c>
      <c r="S71" s="36">
        <f>(IF(OR(A71="DWF",A71="DNF"),Données_Planning!I69,MOD(Données_Planning!I69,60)))</f>
        <v>100</v>
      </c>
      <c r="T71" s="28" t="str">
        <f t="shared" si="15"/>
        <v>m</v>
      </c>
      <c r="U71" s="37">
        <f>(IF(OR(A71="DWF",A71="DNF"),0,QUOTIENT(Données_Planning!K69,60)))</f>
        <v>0</v>
      </c>
      <c r="V71" s="7">
        <f t="shared" si="16"/>
        <v>0</v>
      </c>
      <c r="W71" s="36">
        <f>(IF(OR(A71="DWF",A71="DNF"),Données_Planning!K69,MOD(Données_Planning!K69,60)))</f>
        <v>125</v>
      </c>
      <c r="X71" s="38" t="str">
        <f t="shared" si="17"/>
        <v>m</v>
      </c>
      <c r="Y71" s="42"/>
    </row>
    <row r="72" spans="1:25" ht="15.75" x14ac:dyDescent="0.25">
      <c r="A72" s="4" t="str">
        <f>Données_Planning!A70</f>
        <v>dnf</v>
      </c>
      <c r="B72" s="6">
        <f>Données_Planning!B70</f>
        <v>7</v>
      </c>
      <c r="C72" s="28">
        <f>Données_Planning!C70</f>
        <v>1</v>
      </c>
      <c r="D72" s="50">
        <f t="shared" si="9"/>
        <v>0.62986111111111109</v>
      </c>
      <c r="E72" s="51">
        <f t="shared" si="10"/>
        <v>0.64861111111111114</v>
      </c>
      <c r="F72" s="52">
        <f t="shared" si="11"/>
        <v>0.64930555555555558</v>
      </c>
      <c r="G72" s="47">
        <f>Données_Planning!L70</f>
        <v>0.65069444444444446</v>
      </c>
      <c r="H72" s="18" t="str">
        <f>Données_Planning!H70</f>
        <v>Sportpleizh</v>
      </c>
      <c r="I72" s="5">
        <f>Données_Planning!D70</f>
        <v>44</v>
      </c>
      <c r="J72" s="22" t="str">
        <f>Données_Planning!F70</f>
        <v>PIERRAT</v>
      </c>
      <c r="K72" s="22" t="str">
        <f>Données_Planning!E70</f>
        <v>Patrice</v>
      </c>
      <c r="L72" s="35" t="str">
        <f>Données_Planning!G70</f>
        <v>H</v>
      </c>
      <c r="M72" s="37">
        <f>(IF(OR(A72="DWF",A72="DNF"),0,QUOTIENT(Données_Planning!J70,60)))</f>
        <v>0</v>
      </c>
      <c r="N72" s="7">
        <f t="shared" si="12"/>
        <v>0</v>
      </c>
      <c r="O72" s="36">
        <f>(IF(OR(A72="DWF",A72="DNF"),Données_Planning!J70,MOD(Données_Planning!J70,60)))</f>
        <v>75</v>
      </c>
      <c r="P72" s="28" t="str">
        <f t="shared" si="13"/>
        <v>m</v>
      </c>
      <c r="Q72" s="37">
        <f>(IF(OR(A72="DWF",A72="DNF"),0,QUOTIENT(Données_Planning!I70,60)))</f>
        <v>0</v>
      </c>
      <c r="R72" s="7">
        <f t="shared" si="14"/>
        <v>0</v>
      </c>
      <c r="S72" s="36">
        <f>(IF(OR(A72="DWF",A72="DNF"),Données_Planning!I70,MOD(Données_Planning!I70,60)))</f>
        <v>100</v>
      </c>
      <c r="T72" s="28" t="str">
        <f t="shared" si="15"/>
        <v>m</v>
      </c>
      <c r="U72" s="37">
        <f>(IF(OR(A72="DWF",A72="DNF"),0,QUOTIENT(Données_Planning!K70,60)))</f>
        <v>0</v>
      </c>
      <c r="V72" s="7">
        <f t="shared" si="16"/>
        <v>0</v>
      </c>
      <c r="W72" s="36">
        <f>(IF(OR(A72="DWF",A72="DNF"),Données_Planning!K70,MOD(Données_Planning!K70,60)))</f>
        <v>125</v>
      </c>
      <c r="X72" s="38" t="str">
        <f t="shared" si="17"/>
        <v>m</v>
      </c>
      <c r="Y72" s="42"/>
    </row>
    <row r="73" spans="1:25" ht="15.75" x14ac:dyDescent="0.25">
      <c r="A73" s="4" t="str">
        <f>Données_Planning!A71</f>
        <v>dnf</v>
      </c>
      <c r="B73" s="6">
        <f>Données_Planning!B71</f>
        <v>7</v>
      </c>
      <c r="C73" s="28">
        <f>Données_Planning!C71</f>
        <v>2</v>
      </c>
      <c r="D73" s="50">
        <f t="shared" si="9"/>
        <v>0.62986111111111109</v>
      </c>
      <c r="E73" s="51">
        <f t="shared" si="10"/>
        <v>0.64861111111111114</v>
      </c>
      <c r="F73" s="52">
        <f t="shared" si="11"/>
        <v>0.64930555555555558</v>
      </c>
      <c r="G73" s="47">
        <f>Données_Planning!L71</f>
        <v>0.65069444444444446</v>
      </c>
      <c r="H73" s="18" t="str">
        <f>Données_Planning!H71</f>
        <v>LIMULES</v>
      </c>
      <c r="I73" s="5">
        <f>Données_Planning!D71</f>
        <v>33</v>
      </c>
      <c r="J73" s="22" t="str">
        <f>Données_Planning!F71</f>
        <v>CORDIER</v>
      </c>
      <c r="K73" s="22" t="str">
        <f>Données_Planning!E71</f>
        <v>Frédérique</v>
      </c>
      <c r="L73" s="35" t="str">
        <f>Données_Planning!G71</f>
        <v>F</v>
      </c>
      <c r="M73" s="37">
        <f>(IF(OR(A73="DWF",A73="DNF"),0,QUOTIENT(Données_Planning!J71,60)))</f>
        <v>0</v>
      </c>
      <c r="N73" s="7">
        <f t="shared" si="12"/>
        <v>0</v>
      </c>
      <c r="O73" s="36">
        <f>(IF(OR(A73="DWF",A73="DNF"),Données_Planning!J71,MOD(Données_Planning!J71,60)))</f>
        <v>78</v>
      </c>
      <c r="P73" s="28" t="str">
        <f t="shared" si="13"/>
        <v>m</v>
      </c>
      <c r="Q73" s="37">
        <f>(IF(OR(A73="DWF",A73="DNF"),0,QUOTIENT(Données_Planning!I71,60)))</f>
        <v>0</v>
      </c>
      <c r="R73" s="7">
        <f t="shared" si="14"/>
        <v>0</v>
      </c>
      <c r="S73" s="36">
        <f>(IF(OR(A73="DWF",A73="DNF"),Données_Planning!I71,MOD(Données_Planning!I71,60)))</f>
        <v>103</v>
      </c>
      <c r="T73" s="28" t="str">
        <f t="shared" si="15"/>
        <v>m</v>
      </c>
      <c r="U73" s="37">
        <f>(IF(OR(A73="DWF",A73="DNF"),0,QUOTIENT(Données_Planning!K71,60)))</f>
        <v>0</v>
      </c>
      <c r="V73" s="7">
        <f t="shared" si="16"/>
        <v>0</v>
      </c>
      <c r="W73" s="36">
        <f>(IF(OR(A73="DWF",A73="DNF"),Données_Planning!K71,MOD(Données_Planning!K71,60)))</f>
        <v>128</v>
      </c>
      <c r="X73" s="38" t="str">
        <f t="shared" si="17"/>
        <v>m</v>
      </c>
      <c r="Y73" s="42"/>
    </row>
    <row r="74" spans="1:25" ht="15.75" x14ac:dyDescent="0.25">
      <c r="A74" s="4" t="str">
        <f>Données_Planning!A72</f>
        <v>dnf</v>
      </c>
      <c r="B74" s="6">
        <f>Données_Planning!B72</f>
        <v>8</v>
      </c>
      <c r="C74" s="28">
        <f>Données_Planning!C72</f>
        <v>1</v>
      </c>
      <c r="D74" s="50">
        <f t="shared" si="9"/>
        <v>0.63611111111111107</v>
      </c>
      <c r="E74" s="51">
        <f t="shared" si="10"/>
        <v>0.65486111111111112</v>
      </c>
      <c r="F74" s="52">
        <f t="shared" si="11"/>
        <v>0.65555555555555556</v>
      </c>
      <c r="G74" s="47">
        <f>Données_Planning!L72</f>
        <v>0.65694444444444444</v>
      </c>
      <c r="H74" s="18" t="str">
        <f>Données_Planning!H72</f>
        <v>SavoyOuBien?</v>
      </c>
      <c r="I74" s="5">
        <f>Données_Planning!D72</f>
        <v>39</v>
      </c>
      <c r="J74" s="22" t="str">
        <f>Données_Planning!F72</f>
        <v>EKSTETS</v>
      </c>
      <c r="K74" s="22" t="str">
        <f>Données_Planning!E72</f>
        <v>Marie-pierre</v>
      </c>
      <c r="L74" s="35" t="str">
        <f>Données_Planning!G72</f>
        <v>F</v>
      </c>
      <c r="M74" s="37">
        <f>(IF(OR(A74="DWF",A74="DNF"),0,QUOTIENT(Données_Planning!J72,60)))</f>
        <v>0</v>
      </c>
      <c r="N74" s="7">
        <f t="shared" si="12"/>
        <v>0</v>
      </c>
      <c r="O74" s="36">
        <f>(IF(OR(A74="DWF",A74="DNF"),Données_Planning!J72,MOD(Données_Planning!J72,60)))</f>
        <v>85</v>
      </c>
      <c r="P74" s="28" t="str">
        <f t="shared" si="13"/>
        <v>m</v>
      </c>
      <c r="Q74" s="37">
        <f>(IF(OR(A74="DWF",A74="DNF"),0,QUOTIENT(Données_Planning!I72,60)))</f>
        <v>0</v>
      </c>
      <c r="R74" s="7">
        <f t="shared" si="14"/>
        <v>0</v>
      </c>
      <c r="S74" s="36">
        <f>(IF(OR(A74="DWF",A74="DNF"),Données_Planning!I72,MOD(Données_Planning!I72,60)))</f>
        <v>110</v>
      </c>
      <c r="T74" s="28" t="str">
        <f t="shared" si="15"/>
        <v>m</v>
      </c>
      <c r="U74" s="37">
        <f>(IF(OR(A74="DWF",A74="DNF"),0,QUOTIENT(Données_Planning!K72,60)))</f>
        <v>0</v>
      </c>
      <c r="V74" s="7">
        <f t="shared" si="16"/>
        <v>0</v>
      </c>
      <c r="W74" s="36">
        <f>(IF(OR(A74="DWF",A74="DNF"),Données_Planning!K72,MOD(Données_Planning!K72,60)))</f>
        <v>135</v>
      </c>
      <c r="X74" s="38" t="str">
        <f t="shared" si="17"/>
        <v>m</v>
      </c>
      <c r="Y74" s="42"/>
    </row>
    <row r="75" spans="1:25" ht="15.75" x14ac:dyDescent="0.25">
      <c r="A75" s="4" t="str">
        <f>Données_Planning!A73</f>
        <v>dnf</v>
      </c>
      <c r="B75" s="6">
        <f>Données_Planning!B73</f>
        <v>8</v>
      </c>
      <c r="C75" s="28">
        <f>Données_Planning!C73</f>
        <v>2</v>
      </c>
      <c r="D75" s="50">
        <f t="shared" si="9"/>
        <v>0.63611111111111107</v>
      </c>
      <c r="E75" s="51">
        <f t="shared" si="10"/>
        <v>0.65486111111111112</v>
      </c>
      <c r="F75" s="52">
        <f t="shared" si="11"/>
        <v>0.65555555555555556</v>
      </c>
      <c r="G75" s="47">
        <f>Données_Planning!L73</f>
        <v>0.65694444444444444</v>
      </c>
      <c r="H75" s="18" t="str">
        <f>Données_Planning!H73</f>
        <v>SavoyOuBien?</v>
      </c>
      <c r="I75" s="5">
        <f>Données_Planning!D73</f>
        <v>38</v>
      </c>
      <c r="J75" s="22" t="str">
        <f>Données_Planning!F73</f>
        <v>GUILLOUX</v>
      </c>
      <c r="K75" s="22" t="str">
        <f>Données_Planning!E73</f>
        <v>Philippe</v>
      </c>
      <c r="L75" s="35" t="str">
        <f>Données_Planning!G73</f>
        <v>H</v>
      </c>
      <c r="M75" s="37">
        <f>(IF(OR(A75="DWF",A75="DNF"),0,QUOTIENT(Données_Planning!J73,60)))</f>
        <v>0</v>
      </c>
      <c r="N75" s="7">
        <f t="shared" si="12"/>
        <v>0</v>
      </c>
      <c r="O75" s="36">
        <f>(IF(OR(A75="DWF",A75="DNF"),Données_Planning!J73,MOD(Données_Planning!J73,60)))</f>
        <v>100</v>
      </c>
      <c r="P75" s="28" t="str">
        <f t="shared" si="13"/>
        <v>m</v>
      </c>
      <c r="Q75" s="37">
        <f>(IF(OR(A75="DWF",A75="DNF"),0,QUOTIENT(Données_Planning!I73,60)))</f>
        <v>0</v>
      </c>
      <c r="R75" s="7">
        <f t="shared" si="14"/>
        <v>0</v>
      </c>
      <c r="S75" s="36">
        <f>(IF(OR(A75="DWF",A75="DNF"),Données_Planning!I73,MOD(Données_Planning!I73,60)))</f>
        <v>125</v>
      </c>
      <c r="T75" s="28" t="str">
        <f t="shared" si="15"/>
        <v>m</v>
      </c>
      <c r="U75" s="37">
        <f>(IF(OR(A75="DWF",A75="DNF"),0,QUOTIENT(Données_Planning!K73,60)))</f>
        <v>0</v>
      </c>
      <c r="V75" s="7">
        <f t="shared" si="16"/>
        <v>0</v>
      </c>
      <c r="W75" s="36">
        <f>(IF(OR(A75="DWF",A75="DNF"),Données_Planning!K73,MOD(Données_Planning!K73,60)))</f>
        <v>150</v>
      </c>
      <c r="X75" s="38" t="str">
        <f t="shared" si="17"/>
        <v>m</v>
      </c>
      <c r="Y75" s="42"/>
    </row>
    <row r="76" spans="1:25" ht="15.75" x14ac:dyDescent="0.25">
      <c r="A76" s="4" t="str">
        <f>Données_Planning!A74</f>
        <v>dnf</v>
      </c>
      <c r="B76" s="6">
        <f>Données_Planning!B74</f>
        <v>9</v>
      </c>
      <c r="C76" s="28">
        <f>Données_Planning!C74</f>
        <v>1</v>
      </c>
      <c r="D76" s="50">
        <f t="shared" si="9"/>
        <v>0.64236111111111105</v>
      </c>
      <c r="E76" s="51">
        <f t="shared" si="10"/>
        <v>0.66111111111111109</v>
      </c>
      <c r="F76" s="52">
        <f t="shared" si="11"/>
        <v>0.66180555555555554</v>
      </c>
      <c r="G76" s="47">
        <f>Données_Planning!L74</f>
        <v>0.66319444444444442</v>
      </c>
      <c r="H76" s="18" t="str">
        <f>Données_Planning!H74</f>
        <v>Enjoy And Relax</v>
      </c>
      <c r="I76" s="5">
        <f>Données_Planning!D74</f>
        <v>11</v>
      </c>
      <c r="J76" s="22" t="str">
        <f>Données_Planning!F74</f>
        <v>HURON</v>
      </c>
      <c r="K76" s="22" t="str">
        <f>Données_Planning!E74</f>
        <v>Pascal</v>
      </c>
      <c r="L76" s="35" t="str">
        <f>Données_Planning!G74</f>
        <v>H</v>
      </c>
      <c r="M76" s="37">
        <f>(IF(OR(A76="DWF",A76="DNF"),0,QUOTIENT(Données_Planning!J74,60)))</f>
        <v>0</v>
      </c>
      <c r="N76" s="7">
        <f t="shared" si="12"/>
        <v>0</v>
      </c>
      <c r="O76" s="36">
        <f>(IF(OR(A76="DWF",A76="DNF"),Données_Planning!J74,MOD(Données_Planning!J74,60)))</f>
        <v>125</v>
      </c>
      <c r="P76" s="28" t="str">
        <f t="shared" si="13"/>
        <v>m</v>
      </c>
      <c r="Q76" s="37">
        <f>(IF(OR(A76="DWF",A76="DNF"),0,QUOTIENT(Données_Planning!I74,60)))</f>
        <v>0</v>
      </c>
      <c r="R76" s="7">
        <f t="shared" si="14"/>
        <v>0</v>
      </c>
      <c r="S76" s="36">
        <f>(IF(OR(A76="DWF",A76="DNF"),Données_Planning!I74,MOD(Données_Planning!I74,60)))</f>
        <v>150</v>
      </c>
      <c r="T76" s="28" t="str">
        <f t="shared" si="15"/>
        <v>m</v>
      </c>
      <c r="U76" s="37">
        <f>(IF(OR(A76="DWF",A76="DNF"),0,QUOTIENT(Données_Planning!K74,60)))</f>
        <v>0</v>
      </c>
      <c r="V76" s="7">
        <f t="shared" si="16"/>
        <v>0</v>
      </c>
      <c r="W76" s="36">
        <f>(IF(OR(A76="DWF",A76="DNF"),Données_Planning!K74,MOD(Données_Planning!K74,60)))</f>
        <v>175</v>
      </c>
      <c r="X76" s="38" t="str">
        <f t="shared" si="17"/>
        <v>m</v>
      </c>
      <c r="Y76" s="42"/>
    </row>
    <row r="77" spans="1:25" ht="15.75" x14ac:dyDescent="0.25">
      <c r="A77" s="4" t="str">
        <f>Données_Planning!A75</f>
        <v>dnf</v>
      </c>
      <c r="B77" s="6">
        <f>Données_Planning!B75</f>
        <v>9</v>
      </c>
      <c r="C77" s="28">
        <f>Données_Planning!C75</f>
        <v>2</v>
      </c>
      <c r="D77" s="50">
        <f t="shared" si="9"/>
        <v>0.64236111111111105</v>
      </c>
      <c r="E77" s="51">
        <f t="shared" si="10"/>
        <v>0.66111111111111109</v>
      </c>
      <c r="F77" s="52">
        <f t="shared" si="11"/>
        <v>0.66180555555555554</v>
      </c>
      <c r="G77" s="47">
        <f>Données_Planning!L75</f>
        <v>0.66319444444444442</v>
      </c>
      <c r="H77" s="18" t="str">
        <f>Données_Planning!H75</f>
        <v>Apneaman, Praha, Czech Republic</v>
      </c>
      <c r="I77" s="5">
        <f>Données_Planning!D75</f>
        <v>2</v>
      </c>
      <c r="J77" s="22" t="str">
        <f>Données_Planning!F75</f>
        <v>RISIAN</v>
      </c>
      <c r="K77" s="22" t="str">
        <f>Données_Planning!E75</f>
        <v>Michal</v>
      </c>
      <c r="L77" s="35" t="str">
        <f>Données_Planning!G75</f>
        <v>H</v>
      </c>
      <c r="M77" s="37">
        <f>(IF(OR(A77="DWF",A77="DNF"),0,QUOTIENT(Données_Planning!J75,60)))</f>
        <v>0</v>
      </c>
      <c r="N77" s="7">
        <f t="shared" si="12"/>
        <v>0</v>
      </c>
      <c r="O77" s="36">
        <f>(IF(OR(A77="DWF",A77="DNF"),Données_Planning!J75,MOD(Données_Planning!J75,60)))</f>
        <v>135</v>
      </c>
      <c r="P77" s="28" t="str">
        <f t="shared" si="13"/>
        <v>m</v>
      </c>
      <c r="Q77" s="37">
        <f>(IF(OR(A77="DWF",A77="DNF"),0,QUOTIENT(Données_Planning!I75,60)))</f>
        <v>0</v>
      </c>
      <c r="R77" s="7">
        <f t="shared" si="14"/>
        <v>0</v>
      </c>
      <c r="S77" s="36">
        <f>(IF(OR(A77="DWF",A77="DNF"),Données_Planning!I75,MOD(Données_Planning!I75,60)))</f>
        <v>160</v>
      </c>
      <c r="T77" s="28" t="str">
        <f t="shared" si="15"/>
        <v>m</v>
      </c>
      <c r="U77" s="37">
        <f>(IF(OR(A77="DWF",A77="DNF"),0,QUOTIENT(Données_Planning!K75,60)))</f>
        <v>0</v>
      </c>
      <c r="V77" s="7">
        <f t="shared" si="16"/>
        <v>0</v>
      </c>
      <c r="W77" s="36">
        <f>(IF(OR(A77="DWF",A77="DNF"),Données_Planning!K75,MOD(Données_Planning!K75,60)))</f>
        <v>185</v>
      </c>
      <c r="X77" s="38" t="str">
        <f t="shared" si="17"/>
        <v>m</v>
      </c>
      <c r="Y77" s="42"/>
    </row>
    <row r="78" spans="1:25" ht="15.75" x14ac:dyDescent="0.25">
      <c r="A78" s="4">
        <f>Données_Planning!A76</f>
        <v>1650</v>
      </c>
      <c r="B78" s="6">
        <f>Données_Planning!B76</f>
        <v>1</v>
      </c>
      <c r="C78" s="28">
        <f>Données_Planning!C76</f>
        <v>1</v>
      </c>
      <c r="D78" s="50">
        <f t="shared" si="9"/>
        <v>0.65555555555555556</v>
      </c>
      <c r="E78" s="51">
        <f t="shared" si="10"/>
        <v>0.6743055555555556</v>
      </c>
      <c r="F78" s="52">
        <f t="shared" si="11"/>
        <v>0.67500000000000004</v>
      </c>
      <c r="G78" s="47">
        <f>Données_Planning!L76</f>
        <v>0.67638888888888893</v>
      </c>
      <c r="H78" s="18" t="str">
        <f>Données_Planning!H76</f>
        <v>Imashi</v>
      </c>
      <c r="I78" s="5">
        <f>Données_Planning!D76</f>
        <v>18</v>
      </c>
      <c r="J78" s="22" t="str">
        <f>Données_Planning!F76</f>
        <v>OLLIVO</v>
      </c>
      <c r="K78" s="22" t="str">
        <f>Données_Planning!E76</f>
        <v>Kevin</v>
      </c>
      <c r="L78" s="35" t="str">
        <f>Données_Planning!G76</f>
        <v>H</v>
      </c>
      <c r="M78" s="37">
        <f>(IF(OR(A78="DWF",A78="DNF"),0,QUOTIENT(Données_Planning!J76,60)))</f>
        <v>12</v>
      </c>
      <c r="N78" s="7" t="str">
        <f t="shared" si="12"/>
        <v>min</v>
      </c>
      <c r="O78" s="36">
        <f>(IF(OR(A78="DWF",A78="DNF"),Données_Planning!J76,MOD(Données_Planning!J76,60)))</f>
        <v>45</v>
      </c>
      <c r="P78" s="28" t="str">
        <f t="shared" si="13"/>
        <v>s</v>
      </c>
      <c r="Q78" s="37">
        <f>(IF(OR(A78="DWF",A78="DNF"),0,QUOTIENT(Données_Planning!I76,60)))</f>
        <v>13</v>
      </c>
      <c r="R78" s="7" t="str">
        <f t="shared" si="14"/>
        <v>min</v>
      </c>
      <c r="S78" s="36">
        <f>(IF(OR(A78="DWF",A78="DNF"),Données_Planning!I76,MOD(Données_Planning!I76,60)))</f>
        <v>15</v>
      </c>
      <c r="T78" s="28" t="str">
        <f t="shared" si="15"/>
        <v>s</v>
      </c>
      <c r="U78" s="37">
        <f>(IF(OR(A78="DWF",A78="DNF"),0,QUOTIENT(Données_Planning!K76,60)))</f>
        <v>14</v>
      </c>
      <c r="V78" s="7" t="str">
        <f t="shared" si="16"/>
        <v>min</v>
      </c>
      <c r="W78" s="36">
        <f>(IF(OR(A78="DWF",A78="DNF"),Données_Planning!K76,MOD(Données_Planning!K76,60)))</f>
        <v>15</v>
      </c>
      <c r="X78" s="38" t="str">
        <f t="shared" si="17"/>
        <v>s</v>
      </c>
      <c r="Y78" s="42"/>
    </row>
    <row r="79" spans="1:25" ht="15.75" x14ac:dyDescent="0.25">
      <c r="A79" s="4">
        <f>Données_Planning!A77</f>
        <v>1650</v>
      </c>
      <c r="B79" s="6">
        <f>Données_Planning!B77</f>
        <v>1</v>
      </c>
      <c r="C79" s="28">
        <f>Données_Planning!C77</f>
        <v>2</v>
      </c>
      <c r="D79" s="50">
        <f t="shared" si="9"/>
        <v>0.65555555555555556</v>
      </c>
      <c r="E79" s="51">
        <f t="shared" si="10"/>
        <v>0.6743055555555556</v>
      </c>
      <c r="F79" s="52">
        <f t="shared" si="11"/>
        <v>0.67500000000000004</v>
      </c>
      <c r="G79" s="47">
        <f>Données_Planning!L77</f>
        <v>0.67638888888888893</v>
      </c>
      <c r="H79" s="18" t="str">
        <f>Données_Planning!H77</f>
        <v>Apneaman, Praha, Czech Republic</v>
      </c>
      <c r="I79" s="5">
        <f>Données_Planning!D77</f>
        <v>3</v>
      </c>
      <c r="J79" s="22" t="str">
        <f>Données_Planning!F77</f>
        <v>SVADLENKA</v>
      </c>
      <c r="K79" s="22" t="str">
        <f>Données_Planning!E77</f>
        <v>Michal</v>
      </c>
      <c r="L79" s="35" t="str">
        <f>Données_Planning!G77</f>
        <v>H</v>
      </c>
      <c r="M79" s="37">
        <f>(IF(OR(A79="DWF",A79="DNF"),0,QUOTIENT(Données_Planning!J77,60)))</f>
        <v>14</v>
      </c>
      <c r="N79" s="7" t="str">
        <f t="shared" si="12"/>
        <v>min</v>
      </c>
      <c r="O79" s="36">
        <f>(IF(OR(A79="DWF",A79="DNF"),Données_Planning!J77,MOD(Données_Planning!J77,60)))</f>
        <v>20</v>
      </c>
      <c r="P79" s="28" t="str">
        <f t="shared" si="13"/>
        <v>s</v>
      </c>
      <c r="Q79" s="37">
        <f>(IF(OR(A79="DWF",A79="DNF"),0,QUOTIENT(Données_Planning!I77,60)))</f>
        <v>14</v>
      </c>
      <c r="R79" s="7" t="str">
        <f t="shared" si="14"/>
        <v>min</v>
      </c>
      <c r="S79" s="36">
        <f>(IF(OR(A79="DWF",A79="DNF"),Données_Planning!I77,MOD(Données_Planning!I77,60)))</f>
        <v>50</v>
      </c>
      <c r="T79" s="28" t="str">
        <f t="shared" si="15"/>
        <v>s</v>
      </c>
      <c r="U79" s="37">
        <f>(IF(OR(A79="DWF",A79="DNF"),0,QUOTIENT(Données_Planning!K77,60)))</f>
        <v>15</v>
      </c>
      <c r="V79" s="7" t="str">
        <f t="shared" si="16"/>
        <v>min</v>
      </c>
      <c r="W79" s="36">
        <f>(IF(OR(A79="DWF",A79="DNF"),Données_Planning!K77,MOD(Données_Planning!K77,60)))</f>
        <v>50</v>
      </c>
      <c r="X79" s="38" t="str">
        <f t="shared" si="17"/>
        <v>s</v>
      </c>
      <c r="Y79" s="42"/>
    </row>
    <row r="80" spans="1:25" ht="15.75" x14ac:dyDescent="0.25">
      <c r="A80" s="4">
        <f>Données_Planning!A78</f>
        <v>1650</v>
      </c>
      <c r="B80" s="6">
        <f>Données_Planning!B78</f>
        <v>1</v>
      </c>
      <c r="C80" s="28">
        <f>Données_Planning!C78</f>
        <v>3</v>
      </c>
      <c r="D80" s="50">
        <f t="shared" si="9"/>
        <v>0.65555555555555556</v>
      </c>
      <c r="E80" s="51">
        <f t="shared" si="10"/>
        <v>0.6743055555555556</v>
      </c>
      <c r="F80" s="52">
        <f t="shared" si="11"/>
        <v>0.67500000000000004</v>
      </c>
      <c r="G80" s="47">
        <f>Données_Planning!L78</f>
        <v>0.67638888888888893</v>
      </c>
      <c r="H80" s="18" t="str">
        <f>Données_Planning!H78</f>
        <v>Les Cormorans 1</v>
      </c>
      <c r="I80" s="5">
        <f>Données_Planning!D78</f>
        <v>23</v>
      </c>
      <c r="J80" s="22" t="str">
        <f>Données_Planning!F78</f>
        <v>ELU</v>
      </c>
      <c r="K80" s="22" t="str">
        <f>Données_Planning!E78</f>
        <v>Olivier</v>
      </c>
      <c r="L80" s="35" t="str">
        <f>Données_Planning!G78</f>
        <v>H</v>
      </c>
      <c r="M80" s="37">
        <f>(IF(OR(A80="DWF",A80="DNF"),0,QUOTIENT(Données_Planning!J78,60)))</f>
        <v>15</v>
      </c>
      <c r="N80" s="7" t="str">
        <f t="shared" si="12"/>
        <v>min</v>
      </c>
      <c r="O80" s="36">
        <f>(IF(OR(A80="DWF",A80="DNF"),Données_Planning!J78,MOD(Données_Planning!J78,60)))</f>
        <v>30</v>
      </c>
      <c r="P80" s="28" t="str">
        <f t="shared" si="13"/>
        <v>s</v>
      </c>
      <c r="Q80" s="37">
        <f>(IF(OR(A80="DWF",A80="DNF"),0,QUOTIENT(Données_Planning!I78,60)))</f>
        <v>16</v>
      </c>
      <c r="R80" s="7" t="str">
        <f t="shared" si="14"/>
        <v>min</v>
      </c>
      <c r="S80" s="36">
        <f>(IF(OR(A80="DWF",A80="DNF"),Données_Planning!I78,MOD(Données_Planning!I78,60)))</f>
        <v>0</v>
      </c>
      <c r="T80" s="28" t="str">
        <f t="shared" si="15"/>
        <v>s</v>
      </c>
      <c r="U80" s="37">
        <f>(IF(OR(A80="DWF",A80="DNF"),0,QUOTIENT(Données_Planning!K78,60)))</f>
        <v>17</v>
      </c>
      <c r="V80" s="7" t="str">
        <f t="shared" si="16"/>
        <v>min</v>
      </c>
      <c r="W80" s="36">
        <f>(IF(OR(A80="DWF",A80="DNF"),Données_Planning!K78,MOD(Données_Planning!K78,60)))</f>
        <v>0</v>
      </c>
      <c r="X80" s="38" t="str">
        <f t="shared" si="17"/>
        <v>s</v>
      </c>
      <c r="Y80" s="42"/>
    </row>
    <row r="81" spans="1:25" ht="15.75" x14ac:dyDescent="0.25">
      <c r="A81" s="4">
        <f>Données_Planning!A79</f>
        <v>1650</v>
      </c>
      <c r="B81" s="6">
        <f>Données_Planning!B79</f>
        <v>1</v>
      </c>
      <c r="C81" s="28">
        <f>Données_Planning!C79</f>
        <v>4</v>
      </c>
      <c r="D81" s="50">
        <f t="shared" si="9"/>
        <v>0.65555555555555556</v>
      </c>
      <c r="E81" s="51">
        <f t="shared" si="10"/>
        <v>0.6743055555555556</v>
      </c>
      <c r="F81" s="52">
        <f t="shared" si="11"/>
        <v>0.67500000000000004</v>
      </c>
      <c r="G81" s="47">
        <f>Données_Planning!L79</f>
        <v>0.67638888888888893</v>
      </c>
      <c r="H81" s="18" t="str">
        <f>Données_Planning!H79</f>
        <v>Les Cormorans 2</v>
      </c>
      <c r="I81" s="5">
        <f>Données_Planning!D79</f>
        <v>26</v>
      </c>
      <c r="J81" s="22" t="str">
        <f>Données_Planning!F79</f>
        <v>LEITNER</v>
      </c>
      <c r="K81" s="22" t="str">
        <f>Données_Planning!E79</f>
        <v>Rachel</v>
      </c>
      <c r="L81" s="35" t="str">
        <f>Données_Planning!G79</f>
        <v>F</v>
      </c>
      <c r="M81" s="37">
        <f>(IF(OR(A81="DWF",A81="DNF"),0,QUOTIENT(Données_Planning!J79,60)))</f>
        <v>16</v>
      </c>
      <c r="N81" s="7" t="str">
        <f t="shared" si="12"/>
        <v>min</v>
      </c>
      <c r="O81" s="36">
        <f>(IF(OR(A81="DWF",A81="DNF"),Données_Planning!J79,MOD(Données_Planning!J79,60)))</f>
        <v>0</v>
      </c>
      <c r="P81" s="28" t="str">
        <f t="shared" si="13"/>
        <v>s</v>
      </c>
      <c r="Q81" s="37">
        <f>(IF(OR(A81="DWF",A81="DNF"),0,QUOTIENT(Données_Planning!I79,60)))</f>
        <v>16</v>
      </c>
      <c r="R81" s="7" t="str">
        <f t="shared" si="14"/>
        <v>min</v>
      </c>
      <c r="S81" s="36">
        <f>(IF(OR(A81="DWF",A81="DNF"),Données_Planning!I79,MOD(Données_Planning!I79,60)))</f>
        <v>30</v>
      </c>
      <c r="T81" s="28" t="str">
        <f t="shared" si="15"/>
        <v>s</v>
      </c>
      <c r="U81" s="37">
        <f>(IF(OR(A81="DWF",A81="DNF"),0,QUOTIENT(Données_Planning!K79,60)))</f>
        <v>17</v>
      </c>
      <c r="V81" s="7" t="str">
        <f t="shared" si="16"/>
        <v>min</v>
      </c>
      <c r="W81" s="36">
        <f>(IF(OR(A81="DWF",A81="DNF"),Données_Planning!K79,MOD(Données_Planning!K79,60)))</f>
        <v>30</v>
      </c>
      <c r="X81" s="38" t="str">
        <f t="shared" si="17"/>
        <v>s</v>
      </c>
      <c r="Y81" s="42"/>
    </row>
    <row r="82" spans="1:25" ht="15.75" x14ac:dyDescent="0.25">
      <c r="A82" s="4">
        <f>Données_Planning!A80</f>
        <v>1650</v>
      </c>
      <c r="B82" s="6">
        <f>Données_Planning!B80</f>
        <v>1</v>
      </c>
      <c r="C82" s="28">
        <f>Données_Planning!C80</f>
        <v>5</v>
      </c>
      <c r="D82" s="50">
        <f t="shared" si="9"/>
        <v>0.65555555555555556</v>
      </c>
      <c r="E82" s="51">
        <f t="shared" si="10"/>
        <v>0.6743055555555556</v>
      </c>
      <c r="F82" s="52">
        <f t="shared" si="11"/>
        <v>0.67500000000000004</v>
      </c>
      <c r="G82" s="47">
        <f>Données_Planning!L80</f>
        <v>0.67638888888888893</v>
      </c>
      <c r="H82" s="18" t="str">
        <f>Données_Planning!H80</f>
        <v>CYRNEA</v>
      </c>
      <c r="I82" s="5">
        <f>Données_Planning!D80</f>
        <v>9</v>
      </c>
      <c r="J82" s="22" t="str">
        <f>Données_Planning!F80</f>
        <v>CARCHI</v>
      </c>
      <c r="K82" s="22" t="str">
        <f>Données_Planning!E80</f>
        <v>Mathieu</v>
      </c>
      <c r="L82" s="35" t="str">
        <f>Données_Planning!G80</f>
        <v>H</v>
      </c>
      <c r="M82" s="37">
        <f>(IF(OR(A82="DWF",A82="DNF"),0,QUOTIENT(Données_Planning!J80,60)))</f>
        <v>16</v>
      </c>
      <c r="N82" s="7" t="str">
        <f t="shared" si="12"/>
        <v>min</v>
      </c>
      <c r="O82" s="36">
        <f>(IF(OR(A82="DWF",A82="DNF"),Données_Planning!J80,MOD(Données_Planning!J80,60)))</f>
        <v>30</v>
      </c>
      <c r="P82" s="28" t="str">
        <f t="shared" si="13"/>
        <v>s</v>
      </c>
      <c r="Q82" s="37">
        <f>(IF(OR(A82="DWF",A82="DNF"),0,QUOTIENT(Données_Planning!I80,60)))</f>
        <v>17</v>
      </c>
      <c r="R82" s="7" t="str">
        <f t="shared" si="14"/>
        <v>min</v>
      </c>
      <c r="S82" s="36">
        <f>(IF(OR(A82="DWF",A82="DNF"),Données_Planning!I80,MOD(Données_Planning!I80,60)))</f>
        <v>0</v>
      </c>
      <c r="T82" s="28" t="str">
        <f t="shared" si="15"/>
        <v>s</v>
      </c>
      <c r="U82" s="37">
        <f>(IF(OR(A82="DWF",A82="DNF"),0,QUOTIENT(Données_Planning!K80,60)))</f>
        <v>18</v>
      </c>
      <c r="V82" s="7" t="str">
        <f t="shared" si="16"/>
        <v>min</v>
      </c>
      <c r="W82" s="36">
        <f>(IF(OR(A82="DWF",A82="DNF"),Données_Planning!K80,MOD(Données_Planning!K80,60)))</f>
        <v>0</v>
      </c>
      <c r="X82" s="38" t="str">
        <f t="shared" si="17"/>
        <v>s</v>
      </c>
      <c r="Y82" s="42"/>
    </row>
    <row r="83" spans="1:25" ht="15.75" x14ac:dyDescent="0.25">
      <c r="A83" s="4">
        <f>Données_Planning!A81</f>
        <v>1650</v>
      </c>
      <c r="B83" s="6">
        <f>Données_Planning!B81</f>
        <v>2</v>
      </c>
      <c r="C83" s="28">
        <f>Données_Planning!C81</f>
        <v>1</v>
      </c>
      <c r="D83" s="50">
        <f t="shared" si="9"/>
        <v>0.66180555555555554</v>
      </c>
      <c r="E83" s="51">
        <f t="shared" si="10"/>
        <v>0.68055555555555558</v>
      </c>
      <c r="F83" s="52">
        <f t="shared" si="11"/>
        <v>0.68125000000000002</v>
      </c>
      <c r="G83" s="47">
        <f>Données_Planning!L81</f>
        <v>0.68263888888888891</v>
      </c>
      <c r="H83" s="18" t="str">
        <f>Données_Planning!H81</f>
        <v>Les Cormorans 1</v>
      </c>
      <c r="I83" s="5">
        <f>Données_Planning!D81</f>
        <v>21</v>
      </c>
      <c r="J83" s="22" t="str">
        <f>Données_Planning!F81</f>
        <v>BRATANIC</v>
      </c>
      <c r="K83" s="22" t="str">
        <f>Données_Planning!E81</f>
        <v>Alexandre</v>
      </c>
      <c r="L83" s="35" t="str">
        <f>Données_Planning!G81</f>
        <v>H</v>
      </c>
      <c r="M83" s="37">
        <f>(IF(OR(A83="DWF",A83="DNF"),0,QUOTIENT(Données_Planning!J81,60)))</f>
        <v>16</v>
      </c>
      <c r="N83" s="7" t="str">
        <f t="shared" si="12"/>
        <v>min</v>
      </c>
      <c r="O83" s="36">
        <f>(IF(OR(A83="DWF",A83="DNF"),Données_Planning!J81,MOD(Données_Planning!J81,60)))</f>
        <v>30</v>
      </c>
      <c r="P83" s="28" t="str">
        <f t="shared" si="13"/>
        <v>s</v>
      </c>
      <c r="Q83" s="37">
        <f>(IF(OR(A83="DWF",A83="DNF"),0,QUOTIENT(Données_Planning!I81,60)))</f>
        <v>17</v>
      </c>
      <c r="R83" s="7" t="str">
        <f t="shared" si="14"/>
        <v>min</v>
      </c>
      <c r="S83" s="36">
        <f>(IF(OR(A83="DWF",A83="DNF"),Données_Planning!I81,MOD(Données_Planning!I81,60)))</f>
        <v>0</v>
      </c>
      <c r="T83" s="28" t="str">
        <f t="shared" si="15"/>
        <v>s</v>
      </c>
      <c r="U83" s="37">
        <f>(IF(OR(A83="DWF",A83="DNF"),0,QUOTIENT(Données_Planning!K81,60)))</f>
        <v>18</v>
      </c>
      <c r="V83" s="7" t="str">
        <f t="shared" si="16"/>
        <v>min</v>
      </c>
      <c r="W83" s="36">
        <f>(IF(OR(A83="DWF",A83="DNF"),Données_Planning!K81,MOD(Données_Planning!K81,60)))</f>
        <v>0</v>
      </c>
      <c r="X83" s="38" t="str">
        <f t="shared" si="17"/>
        <v>s</v>
      </c>
      <c r="Y83" s="42"/>
    </row>
    <row r="84" spans="1:25" ht="15.75" x14ac:dyDescent="0.25">
      <c r="A84" s="4">
        <f>Données_Planning!A82</f>
        <v>1650</v>
      </c>
      <c r="B84" s="6">
        <f>Données_Planning!B82</f>
        <v>2</v>
      </c>
      <c r="C84" s="28">
        <f>Données_Planning!C82</f>
        <v>2</v>
      </c>
      <c r="D84" s="50">
        <f t="shared" si="9"/>
        <v>0.66180555555555554</v>
      </c>
      <c r="E84" s="51">
        <f t="shared" si="10"/>
        <v>0.68055555555555558</v>
      </c>
      <c r="F84" s="52">
        <f t="shared" si="11"/>
        <v>0.68125000000000002</v>
      </c>
      <c r="G84" s="47">
        <f>Données_Planning!L82</f>
        <v>0.68263888888888891</v>
      </c>
      <c r="H84" s="18" t="str">
        <f>Données_Planning!H82</f>
        <v>Apneaman, Praha, Czech Republic</v>
      </c>
      <c r="I84" s="5">
        <f>Données_Planning!D82</f>
        <v>4</v>
      </c>
      <c r="J84" s="22" t="str">
        <f>Données_Planning!F82</f>
        <v>SURANSKA</v>
      </c>
      <c r="K84" s="22" t="str">
        <f>Données_Planning!E82</f>
        <v>Katerina</v>
      </c>
      <c r="L84" s="35" t="str">
        <f>Données_Planning!G82</f>
        <v>F</v>
      </c>
      <c r="M84" s="37">
        <f>(IF(OR(A84="DWF",A84="DNF"),0,QUOTIENT(Données_Planning!J82,60)))</f>
        <v>17</v>
      </c>
      <c r="N84" s="7" t="str">
        <f t="shared" si="12"/>
        <v>min</v>
      </c>
      <c r="O84" s="36">
        <f>(IF(OR(A84="DWF",A84="DNF"),Données_Planning!J82,MOD(Données_Planning!J82,60)))</f>
        <v>0</v>
      </c>
      <c r="P84" s="28" t="str">
        <f t="shared" si="13"/>
        <v>s</v>
      </c>
      <c r="Q84" s="37">
        <f>(IF(OR(A84="DWF",A84="DNF"),0,QUOTIENT(Données_Planning!I82,60)))</f>
        <v>17</v>
      </c>
      <c r="R84" s="7" t="str">
        <f t="shared" si="14"/>
        <v>min</v>
      </c>
      <c r="S84" s="36">
        <f>(IF(OR(A84="DWF",A84="DNF"),Données_Planning!I82,MOD(Données_Planning!I82,60)))</f>
        <v>30</v>
      </c>
      <c r="T84" s="28" t="str">
        <f t="shared" si="15"/>
        <v>s</v>
      </c>
      <c r="U84" s="37">
        <f>(IF(OR(A84="DWF",A84="DNF"),0,QUOTIENT(Données_Planning!K82,60)))</f>
        <v>18</v>
      </c>
      <c r="V84" s="7" t="str">
        <f t="shared" si="16"/>
        <v>min</v>
      </c>
      <c r="W84" s="36">
        <f>(IF(OR(A84="DWF",A84="DNF"),Données_Planning!K82,MOD(Données_Planning!K82,60)))</f>
        <v>30</v>
      </c>
      <c r="X84" s="38" t="str">
        <f t="shared" si="17"/>
        <v>s</v>
      </c>
      <c r="Y84" s="42"/>
    </row>
    <row r="85" spans="1:25" ht="15.75" x14ac:dyDescent="0.25">
      <c r="A85" s="4">
        <f>Données_Planning!A83</f>
        <v>1650</v>
      </c>
      <c r="B85" s="6">
        <f>Données_Planning!B83</f>
        <v>2</v>
      </c>
      <c r="C85" s="28">
        <f>Données_Planning!C83</f>
        <v>3</v>
      </c>
      <c r="D85" s="50">
        <f t="shared" si="9"/>
        <v>0.66180555555555554</v>
      </c>
      <c r="E85" s="51">
        <f t="shared" si="10"/>
        <v>0.68055555555555558</v>
      </c>
      <c r="F85" s="52">
        <f t="shared" si="11"/>
        <v>0.68125000000000002</v>
      </c>
      <c r="G85" s="47">
        <f>Données_Planning!L83</f>
        <v>0.68263888888888891</v>
      </c>
      <c r="H85" s="18" t="str">
        <f>Données_Planning!H83</f>
        <v>SavoyOuBien?</v>
      </c>
      <c r="I85" s="5">
        <f>Données_Planning!D83</f>
        <v>40</v>
      </c>
      <c r="J85" s="22" t="str">
        <f>Données_Planning!F83</f>
        <v>VERNIER</v>
      </c>
      <c r="K85" s="22" t="str">
        <f>Données_Planning!E83</f>
        <v>Emilie</v>
      </c>
      <c r="L85" s="35" t="str">
        <f>Données_Planning!G83</f>
        <v>F</v>
      </c>
      <c r="M85" s="37">
        <f>(IF(OR(A85="DWF",A85="DNF"),0,QUOTIENT(Données_Planning!J83,60)))</f>
        <v>17</v>
      </c>
      <c r="N85" s="7" t="str">
        <f t="shared" si="12"/>
        <v>min</v>
      </c>
      <c r="O85" s="36">
        <f>(IF(OR(A85="DWF",A85="DNF"),Données_Planning!J83,MOD(Données_Planning!J83,60)))</f>
        <v>30</v>
      </c>
      <c r="P85" s="28" t="str">
        <f t="shared" si="13"/>
        <v>s</v>
      </c>
      <c r="Q85" s="37">
        <f>(IF(OR(A85="DWF",A85="DNF"),0,QUOTIENT(Données_Planning!I83,60)))</f>
        <v>18</v>
      </c>
      <c r="R85" s="7" t="str">
        <f t="shared" si="14"/>
        <v>min</v>
      </c>
      <c r="S85" s="36">
        <f>(IF(OR(A85="DWF",A85="DNF"),Données_Planning!I83,MOD(Données_Planning!I83,60)))</f>
        <v>0</v>
      </c>
      <c r="T85" s="28" t="str">
        <f t="shared" si="15"/>
        <v>s</v>
      </c>
      <c r="U85" s="37">
        <f>(IF(OR(A85="DWF",A85="DNF"),0,QUOTIENT(Données_Planning!K83,60)))</f>
        <v>19</v>
      </c>
      <c r="V85" s="7" t="str">
        <f t="shared" si="16"/>
        <v>min</v>
      </c>
      <c r="W85" s="36">
        <f>(IF(OR(A85="DWF",A85="DNF"),Données_Planning!K83,MOD(Données_Planning!K83,60)))</f>
        <v>0</v>
      </c>
      <c r="X85" s="38" t="str">
        <f t="shared" si="17"/>
        <v>s</v>
      </c>
      <c r="Y85" s="42"/>
    </row>
    <row r="86" spans="1:25" ht="15.75" x14ac:dyDescent="0.25">
      <c r="A86" s="4">
        <f>Données_Planning!A84</f>
        <v>1650</v>
      </c>
      <c r="B86" s="6">
        <f>Données_Planning!B84</f>
        <v>2</v>
      </c>
      <c r="C86" s="28">
        <f>Données_Planning!C84</f>
        <v>4</v>
      </c>
      <c r="D86" s="50">
        <f t="shared" si="9"/>
        <v>0.66180555555555554</v>
      </c>
      <c r="E86" s="51">
        <f t="shared" si="10"/>
        <v>0.68055555555555558</v>
      </c>
      <c r="F86" s="52">
        <f t="shared" si="11"/>
        <v>0.68125000000000002</v>
      </c>
      <c r="G86" s="47">
        <f>Données_Planning!L84</f>
        <v>0.68263888888888891</v>
      </c>
      <c r="H86" s="18" t="str">
        <f>Données_Planning!H84</f>
        <v>LIMULES</v>
      </c>
      <c r="I86" s="5">
        <f>Données_Planning!D84</f>
        <v>31</v>
      </c>
      <c r="J86" s="22" t="str">
        <f>Données_Planning!F84</f>
        <v>DURET</v>
      </c>
      <c r="K86" s="22" t="str">
        <f>Données_Planning!E84</f>
        <v>Olivier</v>
      </c>
      <c r="L86" s="35" t="str">
        <f>Données_Planning!G84</f>
        <v>H</v>
      </c>
      <c r="M86" s="37">
        <f>(IF(OR(A86="DWF",A86="DNF"),0,QUOTIENT(Données_Planning!J84,60)))</f>
        <v>17</v>
      </c>
      <c r="N86" s="7" t="str">
        <f t="shared" si="12"/>
        <v>min</v>
      </c>
      <c r="O86" s="36">
        <f>(IF(OR(A86="DWF",A86="DNF"),Données_Planning!J84,MOD(Données_Planning!J84,60)))</f>
        <v>30</v>
      </c>
      <c r="P86" s="28" t="str">
        <f t="shared" si="13"/>
        <v>s</v>
      </c>
      <c r="Q86" s="37">
        <f>(IF(OR(A86="DWF",A86="DNF"),0,QUOTIENT(Données_Planning!I84,60)))</f>
        <v>18</v>
      </c>
      <c r="R86" s="7" t="str">
        <f t="shared" si="14"/>
        <v>min</v>
      </c>
      <c r="S86" s="36">
        <f>(IF(OR(A86="DWF",A86="DNF"),Données_Planning!I84,MOD(Données_Planning!I84,60)))</f>
        <v>0</v>
      </c>
      <c r="T86" s="28" t="str">
        <f t="shared" si="15"/>
        <v>s</v>
      </c>
      <c r="U86" s="37">
        <f>(IF(OR(A86="DWF",A86="DNF"),0,QUOTIENT(Données_Planning!K84,60)))</f>
        <v>19</v>
      </c>
      <c r="V86" s="7" t="str">
        <f t="shared" si="16"/>
        <v>min</v>
      </c>
      <c r="W86" s="36">
        <f>(IF(OR(A86="DWF",A86="DNF"),Données_Planning!K84,MOD(Données_Planning!K84,60)))</f>
        <v>0</v>
      </c>
      <c r="X86" s="38" t="str">
        <f t="shared" si="17"/>
        <v>s</v>
      </c>
      <c r="Y86" s="42"/>
    </row>
    <row r="87" spans="1:25" ht="15.75" x14ac:dyDescent="0.25">
      <c r="A87" s="4">
        <f>Données_Planning!A85</f>
        <v>1650</v>
      </c>
      <c r="B87" s="6">
        <f>Données_Planning!B85</f>
        <v>2</v>
      </c>
      <c r="C87" s="28">
        <f>Données_Planning!C85</f>
        <v>5</v>
      </c>
      <c r="D87" s="50">
        <f t="shared" si="9"/>
        <v>0.66180555555555554</v>
      </c>
      <c r="E87" s="51">
        <f t="shared" si="10"/>
        <v>0.68055555555555558</v>
      </c>
      <c r="F87" s="52">
        <f t="shared" si="11"/>
        <v>0.68125000000000002</v>
      </c>
      <c r="G87" s="47">
        <f>Données_Planning!L85</f>
        <v>0.68263888888888891</v>
      </c>
      <c r="H87" s="18" t="str">
        <f>Données_Planning!H85</f>
        <v>Sportpleizh</v>
      </c>
      <c r="I87" s="5">
        <f>Données_Planning!D85</f>
        <v>45</v>
      </c>
      <c r="J87" s="22" t="str">
        <f>Données_Planning!F85</f>
        <v>AUBRY</v>
      </c>
      <c r="K87" s="22" t="str">
        <f>Données_Planning!E85</f>
        <v>Pascale</v>
      </c>
      <c r="L87" s="35" t="str">
        <f>Données_Planning!G85</f>
        <v>H</v>
      </c>
      <c r="M87" s="37">
        <f>(IF(OR(A87="DWF",A87="DNF"),0,QUOTIENT(Données_Planning!J85,60)))</f>
        <v>17</v>
      </c>
      <c r="N87" s="7" t="str">
        <f t="shared" si="12"/>
        <v>min</v>
      </c>
      <c r="O87" s="36">
        <f>(IF(OR(A87="DWF",A87="DNF"),Données_Planning!J85,MOD(Données_Planning!J85,60)))</f>
        <v>30</v>
      </c>
      <c r="P87" s="28" t="str">
        <f t="shared" si="13"/>
        <v>s</v>
      </c>
      <c r="Q87" s="37">
        <f>(IF(OR(A87="DWF",A87="DNF"),0,QUOTIENT(Données_Planning!I85,60)))</f>
        <v>18</v>
      </c>
      <c r="R87" s="7" t="str">
        <f t="shared" si="14"/>
        <v>min</v>
      </c>
      <c r="S87" s="36">
        <f>(IF(OR(A87="DWF",A87="DNF"),Données_Planning!I85,MOD(Données_Planning!I85,60)))</f>
        <v>0</v>
      </c>
      <c r="T87" s="28" t="str">
        <f t="shared" si="15"/>
        <v>s</v>
      </c>
      <c r="U87" s="37">
        <f>(IF(OR(A87="DWF",A87="DNF"),0,QUOTIENT(Données_Planning!K85,60)))</f>
        <v>19</v>
      </c>
      <c r="V87" s="7" t="str">
        <f t="shared" si="16"/>
        <v>min</v>
      </c>
      <c r="W87" s="36">
        <f>(IF(OR(A87="DWF",A87="DNF"),Données_Planning!K85,MOD(Données_Planning!K85,60)))</f>
        <v>0</v>
      </c>
      <c r="X87" s="38" t="str">
        <f t="shared" si="17"/>
        <v>s</v>
      </c>
      <c r="Y87" s="42"/>
    </row>
    <row r="88" spans="1:25" ht="15.75" x14ac:dyDescent="0.25">
      <c r="A88" s="4">
        <f>Données_Planning!A86</f>
        <v>1650</v>
      </c>
      <c r="B88" s="6">
        <f>Données_Planning!B86</f>
        <v>3</v>
      </c>
      <c r="C88" s="28">
        <f>Données_Planning!C86</f>
        <v>1</v>
      </c>
      <c r="D88" s="50">
        <f t="shared" si="9"/>
        <v>0.66805555555555562</v>
      </c>
      <c r="E88" s="51">
        <f t="shared" si="10"/>
        <v>0.68680555555555567</v>
      </c>
      <c r="F88" s="52">
        <f t="shared" si="11"/>
        <v>0.68750000000000011</v>
      </c>
      <c r="G88" s="47">
        <f>Données_Planning!L86</f>
        <v>0.68888888888888899</v>
      </c>
      <c r="H88" s="18" t="str">
        <f>Données_Planning!H86</f>
        <v>SavoyOuBien?</v>
      </c>
      <c r="I88" s="5">
        <f>Données_Planning!D86</f>
        <v>36</v>
      </c>
      <c r="J88" s="22" t="str">
        <f>Données_Planning!F86</f>
        <v>GUEHRIA</v>
      </c>
      <c r="K88" s="22" t="str">
        <f>Données_Planning!E86</f>
        <v>Réda</v>
      </c>
      <c r="L88" s="35" t="str">
        <f>Données_Planning!G86</f>
        <v>H</v>
      </c>
      <c r="M88" s="37">
        <f>(IF(OR(A88="DWF",A88="DNF"),0,QUOTIENT(Données_Planning!J86,60)))</f>
        <v>18</v>
      </c>
      <c r="N88" s="7" t="str">
        <f t="shared" si="12"/>
        <v>min</v>
      </c>
      <c r="O88" s="36">
        <f>(IF(OR(A88="DWF",A88="DNF"),Données_Planning!J86,MOD(Données_Planning!J86,60)))</f>
        <v>30</v>
      </c>
      <c r="P88" s="28" t="str">
        <f t="shared" si="13"/>
        <v>s</v>
      </c>
      <c r="Q88" s="37">
        <f>(IF(OR(A88="DWF",A88="DNF"),0,QUOTIENT(Données_Planning!I86,60)))</f>
        <v>19</v>
      </c>
      <c r="R88" s="7" t="str">
        <f t="shared" si="14"/>
        <v>min</v>
      </c>
      <c r="S88" s="36">
        <f>(IF(OR(A88="DWF",A88="DNF"),Données_Planning!I86,MOD(Données_Planning!I86,60)))</f>
        <v>0</v>
      </c>
      <c r="T88" s="28" t="str">
        <f t="shared" si="15"/>
        <v>s</v>
      </c>
      <c r="U88" s="37">
        <f>(IF(OR(A88="DWF",A88="DNF"),0,QUOTIENT(Données_Planning!K86,60)))</f>
        <v>20</v>
      </c>
      <c r="V88" s="7" t="str">
        <f t="shared" si="16"/>
        <v>min</v>
      </c>
      <c r="W88" s="36">
        <f>(IF(OR(A88="DWF",A88="DNF"),Données_Planning!K86,MOD(Données_Planning!K86,60)))</f>
        <v>0</v>
      </c>
      <c r="X88" s="38" t="str">
        <f t="shared" si="17"/>
        <v>s</v>
      </c>
      <c r="Y88" s="42"/>
    </row>
    <row r="89" spans="1:25" ht="15.75" x14ac:dyDescent="0.25">
      <c r="A89" s="4">
        <f>Données_Planning!A87</f>
        <v>1650</v>
      </c>
      <c r="B89" s="6">
        <f>Données_Planning!B87</f>
        <v>3</v>
      </c>
      <c r="C89" s="28">
        <f>Données_Planning!C87</f>
        <v>2</v>
      </c>
      <c r="D89" s="50">
        <f t="shared" si="9"/>
        <v>0.66805555555555562</v>
      </c>
      <c r="E89" s="51">
        <f t="shared" si="10"/>
        <v>0.68680555555555567</v>
      </c>
      <c r="F89" s="52">
        <f t="shared" si="11"/>
        <v>0.68750000000000011</v>
      </c>
      <c r="G89" s="47">
        <f>Données_Planning!L87</f>
        <v>0.68888888888888899</v>
      </c>
      <c r="H89" s="18" t="str">
        <f>Données_Planning!H87</f>
        <v>Les Cormorans 2</v>
      </c>
      <c r="I89" s="5">
        <f>Données_Planning!D87</f>
        <v>28</v>
      </c>
      <c r="J89" s="22" t="str">
        <f>Données_Planning!F87</f>
        <v>BUZET</v>
      </c>
      <c r="K89" s="22" t="str">
        <f>Données_Planning!E87</f>
        <v>François</v>
      </c>
      <c r="L89" s="35" t="str">
        <f>Données_Planning!G87</f>
        <v>H</v>
      </c>
      <c r="M89" s="37">
        <f>(IF(OR(A89="DWF",A89="DNF"),0,QUOTIENT(Données_Planning!J87,60)))</f>
        <v>19</v>
      </c>
      <c r="N89" s="7" t="str">
        <f t="shared" si="12"/>
        <v>min</v>
      </c>
      <c r="O89" s="36">
        <f>(IF(OR(A89="DWF",A89="DNF"),Données_Planning!J87,MOD(Données_Planning!J87,60)))</f>
        <v>30</v>
      </c>
      <c r="P89" s="28" t="str">
        <f t="shared" si="13"/>
        <v>s</v>
      </c>
      <c r="Q89" s="37">
        <f>(IF(OR(A89="DWF",A89="DNF"),0,QUOTIENT(Données_Planning!I87,60)))</f>
        <v>20</v>
      </c>
      <c r="R89" s="7" t="str">
        <f t="shared" si="14"/>
        <v>min</v>
      </c>
      <c r="S89" s="36">
        <f>(IF(OR(A89="DWF",A89="DNF"),Données_Planning!I87,MOD(Données_Planning!I87,60)))</f>
        <v>0</v>
      </c>
      <c r="T89" s="28" t="str">
        <f t="shared" si="15"/>
        <v>s</v>
      </c>
      <c r="U89" s="37">
        <f>(IF(OR(A89="DWF",A89="DNF"),0,QUOTIENT(Données_Planning!K87,60)))</f>
        <v>21</v>
      </c>
      <c r="V89" s="7" t="str">
        <f t="shared" si="16"/>
        <v>min</v>
      </c>
      <c r="W89" s="36">
        <f>(IF(OR(A89="DWF",A89="DNF"),Données_Planning!K87,MOD(Données_Planning!K87,60)))</f>
        <v>0</v>
      </c>
      <c r="X89" s="38" t="str">
        <f t="shared" si="17"/>
        <v>s</v>
      </c>
      <c r="Y89" s="42"/>
    </row>
    <row r="90" spans="1:25" ht="15.75" x14ac:dyDescent="0.25">
      <c r="A90" s="4">
        <f>Données_Planning!A88</f>
        <v>1650</v>
      </c>
      <c r="B90" s="6">
        <f>Données_Planning!B88</f>
        <v>3</v>
      </c>
      <c r="C90" s="28">
        <f>Données_Planning!C88</f>
        <v>3</v>
      </c>
      <c r="D90" s="50">
        <f t="shared" si="9"/>
        <v>0.66805555555555562</v>
      </c>
      <c r="E90" s="51">
        <f t="shared" si="10"/>
        <v>0.68680555555555567</v>
      </c>
      <c r="F90" s="52">
        <f t="shared" si="11"/>
        <v>0.68750000000000011</v>
      </c>
      <c r="G90" s="47">
        <f>Données_Planning!L88</f>
        <v>0.68888888888888899</v>
      </c>
      <c r="H90" s="18" t="str">
        <f>Données_Planning!H88</f>
        <v>CYRNEA</v>
      </c>
      <c r="I90" s="5">
        <f>Données_Planning!D88</f>
        <v>10</v>
      </c>
      <c r="J90" s="22" t="str">
        <f>Données_Planning!F88</f>
        <v>ROUX</v>
      </c>
      <c r="K90" s="22" t="str">
        <f>Données_Planning!E88</f>
        <v>Benoît</v>
      </c>
      <c r="L90" s="35" t="str">
        <f>Données_Planning!G88</f>
        <v>H</v>
      </c>
      <c r="M90" s="37">
        <f>(IF(OR(A90="DWF",A90="DNF"),0,QUOTIENT(Données_Planning!J88,60)))</f>
        <v>19</v>
      </c>
      <c r="N90" s="7" t="str">
        <f t="shared" si="12"/>
        <v>min</v>
      </c>
      <c r="O90" s="36">
        <f>(IF(OR(A90="DWF",A90="DNF"),Données_Planning!J88,MOD(Données_Planning!J88,60)))</f>
        <v>30</v>
      </c>
      <c r="P90" s="28" t="str">
        <f t="shared" si="13"/>
        <v>s</v>
      </c>
      <c r="Q90" s="37">
        <f>(IF(OR(A90="DWF",A90="DNF"),0,QUOTIENT(Données_Planning!I88,60)))</f>
        <v>20</v>
      </c>
      <c r="R90" s="7" t="str">
        <f t="shared" si="14"/>
        <v>min</v>
      </c>
      <c r="S90" s="36">
        <f>(IF(OR(A90="DWF",A90="DNF"),Données_Planning!I88,MOD(Données_Planning!I88,60)))</f>
        <v>0</v>
      </c>
      <c r="T90" s="28" t="str">
        <f t="shared" si="15"/>
        <v>s</v>
      </c>
      <c r="U90" s="37">
        <f>(IF(OR(A90="DWF",A90="DNF"),0,QUOTIENT(Données_Planning!K88,60)))</f>
        <v>21</v>
      </c>
      <c r="V90" s="7" t="str">
        <f t="shared" si="16"/>
        <v>min</v>
      </c>
      <c r="W90" s="36">
        <f>(IF(OR(A90="DWF",A90="DNF"),Données_Planning!K88,MOD(Données_Planning!K88,60)))</f>
        <v>0</v>
      </c>
      <c r="X90" s="38" t="str">
        <f t="shared" si="17"/>
        <v>s</v>
      </c>
      <c r="Y90" s="42"/>
    </row>
    <row r="91" spans="1:25" ht="15.75" x14ac:dyDescent="0.25">
      <c r="A91" s="4">
        <f>Données_Planning!A89</f>
        <v>1650</v>
      </c>
      <c r="B91" s="6">
        <f>Données_Planning!B89</f>
        <v>3</v>
      </c>
      <c r="C91" s="28">
        <f>Données_Planning!C89</f>
        <v>4</v>
      </c>
      <c r="D91" s="50">
        <f t="shared" si="9"/>
        <v>0.66805555555555562</v>
      </c>
      <c r="E91" s="51">
        <f t="shared" si="10"/>
        <v>0.68680555555555567</v>
      </c>
      <c r="F91" s="52">
        <f t="shared" si="11"/>
        <v>0.68750000000000011</v>
      </c>
      <c r="G91" s="47">
        <f>Données_Planning!L89</f>
        <v>0.68888888888888899</v>
      </c>
      <c r="H91" s="18" t="str">
        <f>Données_Planning!H89</f>
        <v>Enjoy And Relax</v>
      </c>
      <c r="I91" s="5">
        <f>Données_Planning!D89</f>
        <v>12</v>
      </c>
      <c r="J91" s="22" t="str">
        <f>Données_Planning!F89</f>
        <v>SGARRA</v>
      </c>
      <c r="K91" s="22" t="str">
        <f>Données_Planning!E89</f>
        <v>Michel</v>
      </c>
      <c r="L91" s="35" t="str">
        <f>Données_Planning!G89</f>
        <v>H</v>
      </c>
      <c r="M91" s="37">
        <f>(IF(OR(A91="DWF",A91="DNF"),0,QUOTIENT(Données_Planning!J89,60)))</f>
        <v>20</v>
      </c>
      <c r="N91" s="7" t="str">
        <f t="shared" si="12"/>
        <v>min</v>
      </c>
      <c r="O91" s="36">
        <f>(IF(OR(A91="DWF",A91="DNF"),Données_Planning!J89,MOD(Données_Planning!J89,60)))</f>
        <v>30</v>
      </c>
      <c r="P91" s="28" t="str">
        <f t="shared" si="13"/>
        <v>s</v>
      </c>
      <c r="Q91" s="37">
        <f>(IF(OR(A91="DWF",A91="DNF"),0,QUOTIENT(Données_Planning!I89,60)))</f>
        <v>21</v>
      </c>
      <c r="R91" s="7" t="str">
        <f t="shared" si="14"/>
        <v>min</v>
      </c>
      <c r="S91" s="36">
        <f>(IF(OR(A91="DWF",A91="DNF"),Données_Planning!I89,MOD(Données_Planning!I89,60)))</f>
        <v>0</v>
      </c>
      <c r="T91" s="28" t="str">
        <f t="shared" si="15"/>
        <v>s</v>
      </c>
      <c r="U91" s="37">
        <f>(IF(OR(A91="DWF",A91="DNF"),0,QUOTIENT(Données_Planning!K89,60)))</f>
        <v>22</v>
      </c>
      <c r="V91" s="7" t="str">
        <f t="shared" si="16"/>
        <v>min</v>
      </c>
      <c r="W91" s="36">
        <f>(IF(OR(A91="DWF",A91="DNF"),Données_Planning!K89,MOD(Données_Planning!K89,60)))</f>
        <v>0</v>
      </c>
      <c r="X91" s="38" t="str">
        <f t="shared" si="17"/>
        <v>s</v>
      </c>
      <c r="Y91" s="42"/>
    </row>
    <row r="92" spans="1:25" ht="15.75" x14ac:dyDescent="0.25">
      <c r="A92" s="4">
        <f>Données_Planning!A90</f>
        <v>1650</v>
      </c>
      <c r="B92" s="6">
        <f>Données_Planning!B90</f>
        <v>3</v>
      </c>
      <c r="C92" s="28">
        <f>Données_Planning!C90</f>
        <v>5</v>
      </c>
      <c r="D92" s="50">
        <f t="shared" si="9"/>
        <v>0.66805555555555562</v>
      </c>
      <c r="E92" s="51">
        <f t="shared" si="10"/>
        <v>0.68680555555555567</v>
      </c>
      <c r="F92" s="52">
        <f t="shared" si="11"/>
        <v>0.68750000000000011</v>
      </c>
      <c r="G92" s="47">
        <f>Données_Planning!L90</f>
        <v>0.68888888888888899</v>
      </c>
      <c r="H92" s="18" t="str">
        <f>Données_Planning!H90</f>
        <v>Sportpleizh</v>
      </c>
      <c r="I92" s="5">
        <f>Données_Planning!D90</f>
        <v>46</v>
      </c>
      <c r="J92" s="22" t="str">
        <f>Données_Planning!F90</f>
        <v>MARIE</v>
      </c>
      <c r="K92" s="22" t="str">
        <f>Données_Planning!E90</f>
        <v>coralie</v>
      </c>
      <c r="L92" s="35" t="str">
        <f>Données_Planning!G90</f>
        <v>F</v>
      </c>
      <c r="M92" s="37">
        <f>(IF(OR(A92="DWF",A92="DNF"),0,QUOTIENT(Données_Planning!J90,60)))</f>
        <v>21</v>
      </c>
      <c r="N92" s="7" t="str">
        <f t="shared" si="12"/>
        <v>min</v>
      </c>
      <c r="O92" s="36">
        <f>(IF(OR(A92="DWF",A92="DNF"),Données_Planning!J90,MOD(Données_Planning!J90,60)))</f>
        <v>25</v>
      </c>
      <c r="P92" s="28" t="str">
        <f t="shared" si="13"/>
        <v>s</v>
      </c>
      <c r="Q92" s="37">
        <f>(IF(OR(A92="DWF",A92="DNF"),0,QUOTIENT(Données_Planning!I90,60)))</f>
        <v>21</v>
      </c>
      <c r="R92" s="7" t="str">
        <f t="shared" si="14"/>
        <v>min</v>
      </c>
      <c r="S92" s="36">
        <f>(IF(OR(A92="DWF",A92="DNF"),Données_Planning!I90,MOD(Données_Planning!I90,60)))</f>
        <v>55</v>
      </c>
      <c r="T92" s="28" t="str">
        <f t="shared" si="15"/>
        <v>s</v>
      </c>
      <c r="U92" s="37">
        <f>(IF(OR(A92="DWF",A92="DNF"),0,QUOTIENT(Données_Planning!K90,60)))</f>
        <v>22</v>
      </c>
      <c r="V92" s="7" t="str">
        <f t="shared" si="16"/>
        <v>min</v>
      </c>
      <c r="W92" s="36">
        <f>(IF(OR(A92="DWF",A92="DNF"),Données_Planning!K90,MOD(Données_Planning!K90,60)))</f>
        <v>55</v>
      </c>
      <c r="X92" s="38" t="str">
        <f t="shared" si="17"/>
        <v>s</v>
      </c>
      <c r="Y92" s="42"/>
    </row>
    <row r="93" spans="1:25" ht="15.75" x14ac:dyDescent="0.25">
      <c r="A93" s="4">
        <f>Données_Planning!A91</f>
        <v>1650</v>
      </c>
      <c r="B93" s="6">
        <f>Données_Planning!B91</f>
        <v>4</v>
      </c>
      <c r="C93" s="28">
        <f>Données_Planning!C91</f>
        <v>1</v>
      </c>
      <c r="D93" s="50">
        <f t="shared" si="9"/>
        <v>0.67430555555555549</v>
      </c>
      <c r="E93" s="51">
        <f t="shared" si="10"/>
        <v>0.69305555555555554</v>
      </c>
      <c r="F93" s="52">
        <f t="shared" si="11"/>
        <v>0.69374999999999998</v>
      </c>
      <c r="G93" s="47">
        <f>Données_Planning!L91</f>
        <v>0.69513888888888886</v>
      </c>
      <c r="H93" s="18" t="str">
        <f>Données_Planning!H91</f>
        <v>Imashi</v>
      </c>
      <c r="I93" s="5">
        <f>Données_Planning!D91</f>
        <v>16</v>
      </c>
      <c r="J93" s="22" t="str">
        <f>Données_Planning!F91</f>
        <v>GAUBERT</v>
      </c>
      <c r="K93" s="22" t="str">
        <f>Données_Planning!E91</f>
        <v>Albane</v>
      </c>
      <c r="L93" s="35" t="str">
        <f>Données_Planning!G91</f>
        <v>F</v>
      </c>
      <c r="M93" s="37">
        <f>(IF(OR(A93="DWF",A93="DNF"),0,QUOTIENT(Données_Planning!J91,60)))</f>
        <v>22</v>
      </c>
      <c r="N93" s="7" t="str">
        <f t="shared" si="12"/>
        <v>min</v>
      </c>
      <c r="O93" s="36">
        <f>(IF(OR(A93="DWF",A93="DNF"),Données_Planning!J91,MOD(Données_Planning!J91,60)))</f>
        <v>20</v>
      </c>
      <c r="P93" s="28" t="str">
        <f t="shared" si="13"/>
        <v>s</v>
      </c>
      <c r="Q93" s="37">
        <f>(IF(OR(A93="DWF",A93="DNF"),0,QUOTIENT(Données_Planning!I91,60)))</f>
        <v>22</v>
      </c>
      <c r="R93" s="7" t="str">
        <f t="shared" si="14"/>
        <v>min</v>
      </c>
      <c r="S93" s="36">
        <f>(IF(OR(A93="DWF",A93="DNF"),Données_Planning!I91,MOD(Données_Planning!I91,60)))</f>
        <v>50</v>
      </c>
      <c r="T93" s="28" t="str">
        <f t="shared" si="15"/>
        <v>s</v>
      </c>
      <c r="U93" s="37">
        <f>(IF(OR(A93="DWF",A93="DNF"),0,QUOTIENT(Données_Planning!K91,60)))</f>
        <v>23</v>
      </c>
      <c r="V93" s="7" t="str">
        <f t="shared" si="16"/>
        <v>min</v>
      </c>
      <c r="W93" s="36">
        <f>(IF(OR(A93="DWF",A93="DNF"),Données_Planning!K91,MOD(Données_Planning!K91,60)))</f>
        <v>50</v>
      </c>
      <c r="X93" s="38" t="str">
        <f t="shared" si="17"/>
        <v>s</v>
      </c>
      <c r="Y93" s="42"/>
    </row>
    <row r="94" spans="1:25" ht="15.75" x14ac:dyDescent="0.25">
      <c r="A94" s="4">
        <f>Données_Planning!A92</f>
        <v>1650</v>
      </c>
      <c r="B94" s="6">
        <f>Données_Planning!B92</f>
        <v>4</v>
      </c>
      <c r="C94" s="28">
        <f>Données_Planning!C92</f>
        <v>2</v>
      </c>
      <c r="D94" s="50">
        <f t="shared" si="9"/>
        <v>0.67430555555555549</v>
      </c>
      <c r="E94" s="51">
        <f t="shared" si="10"/>
        <v>0.69305555555555554</v>
      </c>
      <c r="F94" s="52">
        <f t="shared" si="11"/>
        <v>0.69374999999999998</v>
      </c>
      <c r="G94" s="47">
        <f>Données_Planning!L92</f>
        <v>0.69513888888888886</v>
      </c>
      <c r="H94" s="18" t="str">
        <f>Données_Planning!H92</f>
        <v>LIMULES</v>
      </c>
      <c r="I94" s="5">
        <f>Données_Planning!D92</f>
        <v>32</v>
      </c>
      <c r="J94" s="22" t="str">
        <f>Données_Planning!F92</f>
        <v>BERRUCAZ</v>
      </c>
      <c r="K94" s="22" t="str">
        <f>Données_Planning!E92</f>
        <v>Stéphane</v>
      </c>
      <c r="L94" s="35" t="str">
        <f>Données_Planning!G92</f>
        <v>H</v>
      </c>
      <c r="M94" s="37">
        <f>(IF(OR(A94="DWF",A94="DNF"),0,QUOTIENT(Données_Planning!J92,60)))</f>
        <v>23</v>
      </c>
      <c r="N94" s="7" t="str">
        <f t="shared" si="12"/>
        <v>min</v>
      </c>
      <c r="O94" s="36">
        <f>(IF(OR(A94="DWF",A94="DNF"),Données_Planning!J92,MOD(Données_Planning!J92,60)))</f>
        <v>30</v>
      </c>
      <c r="P94" s="28" t="str">
        <f t="shared" si="13"/>
        <v>s</v>
      </c>
      <c r="Q94" s="37">
        <f>(IF(OR(A94="DWF",A94="DNF"),0,QUOTIENT(Données_Planning!I92,60)))</f>
        <v>24</v>
      </c>
      <c r="R94" s="7" t="str">
        <f t="shared" si="14"/>
        <v>min</v>
      </c>
      <c r="S94" s="36">
        <f>(IF(OR(A94="DWF",A94="DNF"),Données_Planning!I92,MOD(Données_Planning!I92,60)))</f>
        <v>0</v>
      </c>
      <c r="T94" s="28" t="str">
        <f t="shared" si="15"/>
        <v>s</v>
      </c>
      <c r="U94" s="37">
        <f>(IF(OR(A94="DWF",A94="DNF"),0,QUOTIENT(Données_Planning!K92,60)))</f>
        <v>25</v>
      </c>
      <c r="V94" s="7" t="str">
        <f t="shared" si="16"/>
        <v>min</v>
      </c>
      <c r="W94" s="36">
        <f>(IF(OR(A94="DWF",A94="DNF"),Données_Planning!K92,MOD(Données_Planning!K92,60)))</f>
        <v>0</v>
      </c>
      <c r="X94" s="38" t="str">
        <f t="shared" si="17"/>
        <v>s</v>
      </c>
      <c r="Y94" s="42"/>
    </row>
    <row r="95" spans="1:25" ht="15.75" x14ac:dyDescent="0.25">
      <c r="A95" s="4">
        <f>Données_Planning!A93</f>
        <v>1650</v>
      </c>
      <c r="B95" s="6">
        <f>Données_Planning!B93</f>
        <v>4</v>
      </c>
      <c r="C95" s="28">
        <f>Données_Planning!C93</f>
        <v>3</v>
      </c>
      <c r="D95" s="50">
        <f t="shared" si="9"/>
        <v>0.67430555555555549</v>
      </c>
      <c r="E95" s="51">
        <f t="shared" si="10"/>
        <v>0.69305555555555554</v>
      </c>
      <c r="F95" s="52">
        <f t="shared" si="11"/>
        <v>0.69374999999999998</v>
      </c>
      <c r="G95" s="47">
        <f>Données_Planning!L93</f>
        <v>0.69513888888888886</v>
      </c>
      <c r="H95" s="18" t="str">
        <f>Données_Planning!H93</f>
        <v>Enjoy And Relax</v>
      </c>
      <c r="I95" s="5">
        <f>Données_Planning!D93</f>
        <v>13</v>
      </c>
      <c r="J95" s="22" t="str">
        <f>Données_Planning!F93</f>
        <v>DUCRUIX</v>
      </c>
      <c r="K95" s="22" t="str">
        <f>Données_Planning!E93</f>
        <v>Rodoplhe</v>
      </c>
      <c r="L95" s="35" t="str">
        <f>Données_Planning!G93</f>
        <v>H</v>
      </c>
      <c r="M95" s="37">
        <f>(IF(OR(A95="DWF",A95="DNF"),0,QUOTIENT(Données_Planning!J93,60)))</f>
        <v>25</v>
      </c>
      <c r="N95" s="7" t="str">
        <f t="shared" si="12"/>
        <v>min</v>
      </c>
      <c r="O95" s="36">
        <f>(IF(OR(A95="DWF",A95="DNF"),Données_Planning!J93,MOD(Données_Planning!J93,60)))</f>
        <v>30</v>
      </c>
      <c r="P95" s="28" t="str">
        <f t="shared" si="13"/>
        <v>s</v>
      </c>
      <c r="Q95" s="37">
        <f>(IF(OR(A95="DWF",A95="DNF"),0,QUOTIENT(Données_Planning!I93,60)))</f>
        <v>26</v>
      </c>
      <c r="R95" s="7" t="str">
        <f t="shared" si="14"/>
        <v>min</v>
      </c>
      <c r="S95" s="36">
        <f>(IF(OR(A95="DWF",A95="DNF"),Données_Planning!I93,MOD(Données_Planning!I93,60)))</f>
        <v>0</v>
      </c>
      <c r="T95" s="28" t="str">
        <f t="shared" si="15"/>
        <v>s</v>
      </c>
      <c r="U95" s="37">
        <f>(IF(OR(A95="DWF",A95="DNF"),0,QUOTIENT(Données_Planning!K93,60)))</f>
        <v>27</v>
      </c>
      <c r="V95" s="7" t="str">
        <f t="shared" si="16"/>
        <v>min</v>
      </c>
      <c r="W95" s="36">
        <f>(IF(OR(A95="DWF",A95="DNF"),Données_Planning!K93,MOD(Données_Planning!K93,60)))</f>
        <v>0</v>
      </c>
      <c r="X95" s="38" t="str">
        <f t="shared" si="17"/>
        <v>s</v>
      </c>
      <c r="Y95" s="42"/>
    </row>
    <row r="96" spans="1:25" ht="15.75" x14ac:dyDescent="0.25">
      <c r="A96" s="4">
        <f>Données_Planning!A94</f>
        <v>0</v>
      </c>
      <c r="B96" s="6">
        <f>Données_Planning!B94</f>
        <v>0</v>
      </c>
      <c r="C96" s="28">
        <f>Données_Planning!C94</f>
        <v>0</v>
      </c>
      <c r="D96" s="50">
        <f t="shared" si="9"/>
        <v>0</v>
      </c>
      <c r="E96" s="51">
        <f t="shared" si="10"/>
        <v>0</v>
      </c>
      <c r="F96" s="52">
        <f t="shared" si="11"/>
        <v>0</v>
      </c>
      <c r="G96" s="47">
        <f>Données_Planning!L94</f>
        <v>0</v>
      </c>
      <c r="H96" s="18">
        <f>Données_Planning!H94</f>
        <v>0</v>
      </c>
      <c r="I96" s="5">
        <f>Données_Planning!D94</f>
        <v>0</v>
      </c>
      <c r="J96" s="22">
        <f>Données_Planning!F94</f>
        <v>0</v>
      </c>
      <c r="K96" s="22">
        <f>Données_Planning!E94</f>
        <v>0</v>
      </c>
      <c r="L96" s="35">
        <f>Données_Planning!G94</f>
        <v>0</v>
      </c>
      <c r="M96" s="37">
        <f>(IF(OR(A96="DWF",A96="DNF"),0,QUOTIENT(Données_Planning!J94,60)))</f>
        <v>0</v>
      </c>
      <c r="N96" s="7" t="str">
        <f t="shared" si="12"/>
        <v>min</v>
      </c>
      <c r="O96" s="36">
        <f>(IF(OR(A96="DWF",A96="DNF"),Données_Planning!J94,MOD(Données_Planning!J94,60)))</f>
        <v>0</v>
      </c>
      <c r="P96" s="28" t="str">
        <f t="shared" si="13"/>
        <v>s</v>
      </c>
      <c r="Q96" s="37">
        <f>(IF(OR(A96="DWF",A96="DNF"),0,QUOTIENT(Données_Planning!I94,60)))</f>
        <v>0</v>
      </c>
      <c r="R96" s="7" t="str">
        <f t="shared" si="14"/>
        <v>min</v>
      </c>
      <c r="S96" s="36">
        <f>(IF(OR(A96="DWF",A96="DNF"),Données_Planning!I94,MOD(Données_Planning!I94,60)))</f>
        <v>0</v>
      </c>
      <c r="T96" s="28" t="str">
        <f t="shared" si="15"/>
        <v>s</v>
      </c>
      <c r="U96" s="37">
        <f>(IF(OR(A96="DWF",A96="DNF"),0,QUOTIENT(Données_Planning!K94,60)))</f>
        <v>0</v>
      </c>
      <c r="V96" s="7" t="str">
        <f t="shared" si="16"/>
        <v>min</v>
      </c>
      <c r="W96" s="36">
        <f>(IF(OR(A96="DWF",A96="DNF"),Données_Planning!K94,MOD(Données_Planning!K94,60)))</f>
        <v>0</v>
      </c>
      <c r="X96" s="38" t="str">
        <f t="shared" si="17"/>
        <v>s</v>
      </c>
      <c r="Y96" s="42"/>
    </row>
    <row r="97" spans="1:25" ht="15.75" x14ac:dyDescent="0.25">
      <c r="A97" s="4">
        <f>Données_Planning!A95</f>
        <v>0</v>
      </c>
      <c r="B97" s="6">
        <f>Données_Planning!B95</f>
        <v>0</v>
      </c>
      <c r="C97" s="28">
        <f>Données_Planning!C95</f>
        <v>0</v>
      </c>
      <c r="D97" s="50">
        <f t="shared" si="9"/>
        <v>0</v>
      </c>
      <c r="E97" s="51">
        <f t="shared" si="10"/>
        <v>0</v>
      </c>
      <c r="F97" s="52">
        <f t="shared" si="11"/>
        <v>0</v>
      </c>
      <c r="G97" s="47">
        <f>Données_Planning!L95</f>
        <v>0</v>
      </c>
      <c r="H97" s="18">
        <f>Données_Planning!H95</f>
        <v>0</v>
      </c>
      <c r="I97" s="5">
        <f>Données_Planning!D95</f>
        <v>0</v>
      </c>
      <c r="J97" s="22">
        <f>Données_Planning!F95</f>
        <v>0</v>
      </c>
      <c r="K97" s="22">
        <f>Données_Planning!E95</f>
        <v>0</v>
      </c>
      <c r="L97" s="35">
        <f>Données_Planning!G95</f>
        <v>0</v>
      </c>
      <c r="M97" s="37">
        <f>(IF(OR(A97="DWF",A97="DNF"),0,QUOTIENT(Données_Planning!J95,60)))</f>
        <v>0</v>
      </c>
      <c r="N97" s="7" t="str">
        <f t="shared" si="12"/>
        <v>min</v>
      </c>
      <c r="O97" s="36">
        <f>(IF(OR(A97="DWF",A97="DNF"),Données_Planning!J95,MOD(Données_Planning!J95,60)))</f>
        <v>0</v>
      </c>
      <c r="P97" s="28" t="str">
        <f t="shared" si="13"/>
        <v>s</v>
      </c>
      <c r="Q97" s="37">
        <f>(IF(OR(A97="DWF",A97="DNF"),0,QUOTIENT(Données_Planning!I95,60)))</f>
        <v>0</v>
      </c>
      <c r="R97" s="7" t="str">
        <f t="shared" si="14"/>
        <v>min</v>
      </c>
      <c r="S97" s="36">
        <f>(IF(OR(A97="DWF",A97="DNF"),Données_Planning!I95,MOD(Données_Planning!I95,60)))</f>
        <v>0</v>
      </c>
      <c r="T97" s="28" t="str">
        <f t="shared" si="15"/>
        <v>s</v>
      </c>
      <c r="U97" s="37">
        <f>(IF(OR(A97="DWF",A97="DNF"),0,QUOTIENT(Données_Planning!K95,60)))</f>
        <v>0</v>
      </c>
      <c r="V97" s="7" t="str">
        <f t="shared" si="16"/>
        <v>min</v>
      </c>
      <c r="W97" s="36">
        <f>(IF(OR(A97="DWF",A97="DNF"),Données_Planning!K95,MOD(Données_Planning!K95,60)))</f>
        <v>0</v>
      </c>
      <c r="X97" s="38" t="str">
        <f t="shared" si="17"/>
        <v>s</v>
      </c>
      <c r="Y97" s="42"/>
    </row>
    <row r="98" spans="1:25" ht="15.75" x14ac:dyDescent="0.25">
      <c r="A98" s="33">
        <f>Données_Planning!A96</f>
        <v>0</v>
      </c>
      <c r="B98" s="6">
        <f>Données_Planning!B96</f>
        <v>0</v>
      </c>
      <c r="C98" s="28">
        <f>Données_Planning!C96</f>
        <v>0</v>
      </c>
      <c r="D98" s="50">
        <f t="shared" si="9"/>
        <v>0</v>
      </c>
      <c r="E98" s="51">
        <f t="shared" si="10"/>
        <v>0</v>
      </c>
      <c r="F98" s="52">
        <f t="shared" si="11"/>
        <v>0</v>
      </c>
      <c r="G98" s="47">
        <f>Données_Planning!L96</f>
        <v>0</v>
      </c>
      <c r="H98" s="18">
        <f>Données_Planning!H96</f>
        <v>0</v>
      </c>
      <c r="I98" s="5">
        <f>Données_Planning!D96</f>
        <v>0</v>
      </c>
      <c r="J98" s="22">
        <f>Données_Planning!F96</f>
        <v>0</v>
      </c>
      <c r="K98" s="22">
        <f>Données_Planning!E96</f>
        <v>0</v>
      </c>
      <c r="L98" s="35">
        <f>Données_Planning!G96</f>
        <v>0</v>
      </c>
      <c r="M98" s="37">
        <f>(IF(OR(A98="DWF",A98="DNF"),0,QUOTIENT(Données_Planning!J96,60)))</f>
        <v>0</v>
      </c>
      <c r="N98" s="7" t="str">
        <f t="shared" si="12"/>
        <v>min</v>
      </c>
      <c r="O98" s="36">
        <f>(IF(OR(A98="DWF",A98="DNF"),Données_Planning!J96,MOD(Données_Planning!J96,60)))</f>
        <v>0</v>
      </c>
      <c r="P98" s="28" t="str">
        <f t="shared" si="13"/>
        <v>s</v>
      </c>
      <c r="Q98" s="37">
        <f>(IF(OR(A98="DWF",A98="DNF"),0,QUOTIENT(Données_Planning!I96,60)))</f>
        <v>0</v>
      </c>
      <c r="R98" s="7" t="str">
        <f t="shared" si="14"/>
        <v>min</v>
      </c>
      <c r="S98" s="36">
        <f>(IF(OR(A98="DWF",A98="DNF"),Données_Planning!I96,MOD(Données_Planning!I96,60)))</f>
        <v>0</v>
      </c>
      <c r="T98" s="28" t="str">
        <f t="shared" si="15"/>
        <v>s</v>
      </c>
      <c r="U98" s="37">
        <f>(IF(OR(A98="DWF",A98="DNF"),0,QUOTIENT(Données_Planning!K96,60)))</f>
        <v>0</v>
      </c>
      <c r="V98" s="7" t="str">
        <f t="shared" si="16"/>
        <v>min</v>
      </c>
      <c r="W98" s="36">
        <f>(IF(OR(A98="DWF",A98="DNF"),Données_Planning!K96,MOD(Données_Planning!K96,60)))</f>
        <v>0</v>
      </c>
      <c r="X98" s="38" t="str">
        <f t="shared" si="17"/>
        <v>s</v>
      </c>
      <c r="Y98" s="42"/>
    </row>
    <row r="99" spans="1:25" ht="15.75" x14ac:dyDescent="0.25">
      <c r="A99" s="4">
        <f>Données_Planning!A97</f>
        <v>0</v>
      </c>
      <c r="B99" s="6">
        <f>Données_Planning!B97</f>
        <v>0</v>
      </c>
      <c r="C99" s="28">
        <f>Données_Planning!C97</f>
        <v>0</v>
      </c>
      <c r="D99" s="50">
        <f t="shared" si="9"/>
        <v>0</v>
      </c>
      <c r="E99" s="51">
        <f t="shared" si="10"/>
        <v>0</v>
      </c>
      <c r="F99" s="52">
        <f t="shared" si="11"/>
        <v>0</v>
      </c>
      <c r="G99" s="47">
        <f>Données_Planning!L97</f>
        <v>0</v>
      </c>
      <c r="H99" s="18">
        <f>Données_Planning!H97</f>
        <v>0</v>
      </c>
      <c r="I99" s="5">
        <f>Données_Planning!D97</f>
        <v>0</v>
      </c>
      <c r="J99" s="22">
        <f>Données_Planning!F97</f>
        <v>0</v>
      </c>
      <c r="K99" s="22">
        <f>Données_Planning!E97</f>
        <v>0</v>
      </c>
      <c r="L99" s="35">
        <f>Données_Planning!G97</f>
        <v>0</v>
      </c>
      <c r="M99" s="37">
        <f>(IF(OR(A99="DWF",A99="DNF"),0,QUOTIENT(Données_Planning!J97,60)))</f>
        <v>0</v>
      </c>
      <c r="N99" s="7" t="str">
        <f t="shared" si="12"/>
        <v>min</v>
      </c>
      <c r="O99" s="36">
        <f>(IF(OR(A99="DWF",A99="DNF"),Données_Planning!J97,MOD(Données_Planning!J97,60)))</f>
        <v>0</v>
      </c>
      <c r="P99" s="28" t="str">
        <f t="shared" si="13"/>
        <v>s</v>
      </c>
      <c r="Q99" s="37">
        <f>(IF(OR(A99="DWF",A99="DNF"),0,QUOTIENT(Données_Planning!I97,60)))</f>
        <v>0</v>
      </c>
      <c r="R99" s="7" t="str">
        <f t="shared" si="14"/>
        <v>min</v>
      </c>
      <c r="S99" s="36">
        <f>(IF(OR(A99="DWF",A99="DNF"),Données_Planning!I97,MOD(Données_Planning!I97,60)))</f>
        <v>0</v>
      </c>
      <c r="T99" s="28" t="str">
        <f t="shared" si="15"/>
        <v>s</v>
      </c>
      <c r="U99" s="37">
        <f>(IF(OR(A99="DWF",A99="DNF"),0,QUOTIENT(Données_Planning!K97,60)))</f>
        <v>0</v>
      </c>
      <c r="V99" s="7" t="str">
        <f t="shared" si="16"/>
        <v>min</v>
      </c>
      <c r="W99" s="36">
        <f>(IF(OR(A99="DWF",A99="DNF"),Données_Planning!K97,MOD(Données_Planning!K97,60)))</f>
        <v>0</v>
      </c>
      <c r="X99" s="38" t="str">
        <f t="shared" si="17"/>
        <v>s</v>
      </c>
      <c r="Y99" s="42"/>
    </row>
    <row r="100" spans="1:25" ht="15.75" x14ac:dyDescent="0.25">
      <c r="A100" s="4">
        <f>Données_Planning!A98</f>
        <v>0</v>
      </c>
      <c r="B100" s="6">
        <f>Données_Planning!B98</f>
        <v>0</v>
      </c>
      <c r="C100" s="28">
        <f>Données_Planning!C98</f>
        <v>0</v>
      </c>
      <c r="D100" s="50">
        <f t="shared" si="9"/>
        <v>0</v>
      </c>
      <c r="E100" s="51">
        <f t="shared" si="10"/>
        <v>0</v>
      </c>
      <c r="F100" s="52">
        <f t="shared" si="11"/>
        <v>0</v>
      </c>
      <c r="G100" s="47">
        <f>Données_Planning!L98</f>
        <v>0</v>
      </c>
      <c r="H100" s="18">
        <f>Données_Planning!H98</f>
        <v>0</v>
      </c>
      <c r="I100" s="5">
        <f>Données_Planning!D98</f>
        <v>0</v>
      </c>
      <c r="J100" s="22">
        <f>Données_Planning!F98</f>
        <v>0</v>
      </c>
      <c r="K100" s="22">
        <f>Données_Planning!E98</f>
        <v>0</v>
      </c>
      <c r="L100" s="35">
        <f>Données_Planning!G98</f>
        <v>0</v>
      </c>
      <c r="M100" s="37">
        <f>(IF(OR(A100="DWF",A100="DNF"),0,QUOTIENT(Données_Planning!J98,60)))</f>
        <v>0</v>
      </c>
      <c r="N100" s="7" t="str">
        <f t="shared" si="12"/>
        <v>min</v>
      </c>
      <c r="O100" s="36">
        <f>(IF(OR(A100="DWF",A100="DNF"),Données_Planning!J98,MOD(Données_Planning!J98,60)))</f>
        <v>0</v>
      </c>
      <c r="P100" s="28" t="str">
        <f t="shared" si="13"/>
        <v>s</v>
      </c>
      <c r="Q100" s="37">
        <f>(IF(OR(A100="DWF",A100="DNF"),0,QUOTIENT(Données_Planning!I98,60)))</f>
        <v>0</v>
      </c>
      <c r="R100" s="7" t="str">
        <f t="shared" si="14"/>
        <v>min</v>
      </c>
      <c r="S100" s="36">
        <f>(IF(OR(A100="DWF",A100="DNF"),Données_Planning!I98,MOD(Données_Planning!I98,60)))</f>
        <v>0</v>
      </c>
      <c r="T100" s="28" t="str">
        <f t="shared" si="15"/>
        <v>s</v>
      </c>
      <c r="U100" s="37">
        <f>(IF(OR(A100="DWF",A100="DNF"),0,QUOTIENT(Données_Planning!K98,60)))</f>
        <v>0</v>
      </c>
      <c r="V100" s="7" t="str">
        <f t="shared" si="16"/>
        <v>min</v>
      </c>
      <c r="W100" s="36">
        <f>(IF(OR(A100="DWF",A100="DNF"),Données_Planning!K98,MOD(Données_Planning!K98,60)))</f>
        <v>0</v>
      </c>
      <c r="X100" s="38" t="str">
        <f t="shared" si="17"/>
        <v>s</v>
      </c>
      <c r="Y100" s="42"/>
    </row>
    <row r="101" spans="1:25" ht="15.75" x14ac:dyDescent="0.25">
      <c r="A101" s="4">
        <f>Données_Planning!A99</f>
        <v>0</v>
      </c>
      <c r="B101" s="6">
        <f>Données_Planning!B99</f>
        <v>0</v>
      </c>
      <c r="C101" s="28">
        <f>Données_Planning!C99</f>
        <v>0</v>
      </c>
      <c r="D101" s="50">
        <f t="shared" si="9"/>
        <v>0</v>
      </c>
      <c r="E101" s="51">
        <f t="shared" si="10"/>
        <v>0</v>
      </c>
      <c r="F101" s="52">
        <f t="shared" si="11"/>
        <v>0</v>
      </c>
      <c r="G101" s="47">
        <f>Données_Planning!L99</f>
        <v>0</v>
      </c>
      <c r="H101" s="18">
        <f>Données_Planning!H99</f>
        <v>0</v>
      </c>
      <c r="I101" s="5">
        <f>Données_Planning!D99</f>
        <v>0</v>
      </c>
      <c r="J101" s="22">
        <f>Données_Planning!F99</f>
        <v>0</v>
      </c>
      <c r="K101" s="22">
        <f>Données_Planning!E99</f>
        <v>0</v>
      </c>
      <c r="L101" s="35">
        <f>Données_Planning!G99</f>
        <v>0</v>
      </c>
      <c r="M101" s="37">
        <f>(IF(OR(A101="DWF",A101="DNF"),0,QUOTIENT(Données_Planning!J99,60)))</f>
        <v>0</v>
      </c>
      <c r="N101" s="7" t="str">
        <f t="shared" si="12"/>
        <v>min</v>
      </c>
      <c r="O101" s="36">
        <f>(IF(OR(A101="DWF",A101="DNF"),Données_Planning!J99,MOD(Données_Planning!J99,60)))</f>
        <v>0</v>
      </c>
      <c r="P101" s="28" t="str">
        <f t="shared" si="13"/>
        <v>s</v>
      </c>
      <c r="Q101" s="37">
        <f>(IF(OR(A101="DWF",A101="DNF"),0,QUOTIENT(Données_Planning!I99,60)))</f>
        <v>0</v>
      </c>
      <c r="R101" s="7" t="str">
        <f t="shared" si="14"/>
        <v>min</v>
      </c>
      <c r="S101" s="36">
        <f>(IF(OR(A101="DWF",A101="DNF"),Données_Planning!I99,MOD(Données_Planning!I99,60)))</f>
        <v>0</v>
      </c>
      <c r="T101" s="28" t="str">
        <f t="shared" si="15"/>
        <v>s</v>
      </c>
      <c r="U101" s="37">
        <f>(IF(OR(A101="DWF",A101="DNF"),0,QUOTIENT(Données_Planning!K99,60)))</f>
        <v>0</v>
      </c>
      <c r="V101" s="7" t="str">
        <f t="shared" si="16"/>
        <v>min</v>
      </c>
      <c r="W101" s="36">
        <f>(IF(OR(A101="DWF",A101="DNF"),Données_Planning!K99,MOD(Données_Planning!K99,60)))</f>
        <v>0</v>
      </c>
      <c r="X101" s="38" t="str">
        <f t="shared" si="17"/>
        <v>s</v>
      </c>
      <c r="Y101" s="42"/>
    </row>
    <row r="102" spans="1:25" ht="15.75" x14ac:dyDescent="0.25">
      <c r="A102" s="4">
        <f>Données_Planning!A100</f>
        <v>0</v>
      </c>
      <c r="B102" s="6">
        <f>Données_Planning!B100</f>
        <v>0</v>
      </c>
      <c r="C102" s="28">
        <f>Données_Planning!C100</f>
        <v>0</v>
      </c>
      <c r="D102" s="50">
        <f t="shared" si="9"/>
        <v>0</v>
      </c>
      <c r="E102" s="51">
        <f t="shared" si="10"/>
        <v>0</v>
      </c>
      <c r="F102" s="52">
        <f t="shared" si="11"/>
        <v>0</v>
      </c>
      <c r="G102" s="47">
        <f>Données_Planning!L100</f>
        <v>0</v>
      </c>
      <c r="H102" s="18">
        <f>Données_Planning!H100</f>
        <v>0</v>
      </c>
      <c r="I102" s="5">
        <f>Données_Planning!D100</f>
        <v>0</v>
      </c>
      <c r="J102" s="22">
        <f>Données_Planning!F100</f>
        <v>0</v>
      </c>
      <c r="K102" s="22">
        <f>Données_Planning!E100</f>
        <v>0</v>
      </c>
      <c r="L102" s="35">
        <f>Données_Planning!G100</f>
        <v>0</v>
      </c>
      <c r="M102" s="37">
        <f>(IF(OR(A102="DWF",A102="DNF"),0,QUOTIENT(Données_Planning!J100,60)))</f>
        <v>0</v>
      </c>
      <c r="N102" s="7" t="str">
        <f t="shared" si="12"/>
        <v>min</v>
      </c>
      <c r="O102" s="36">
        <f>(IF(OR(A102="DWF",A102="DNF"),Données_Planning!J100,MOD(Données_Planning!J100,60)))</f>
        <v>0</v>
      </c>
      <c r="P102" s="28" t="str">
        <f t="shared" si="13"/>
        <v>s</v>
      </c>
      <c r="Q102" s="37">
        <f>(IF(OR(A102="DWF",A102="DNF"),0,QUOTIENT(Données_Planning!I100,60)))</f>
        <v>0</v>
      </c>
      <c r="R102" s="7" t="str">
        <f t="shared" si="14"/>
        <v>min</v>
      </c>
      <c r="S102" s="36">
        <f>(IF(OR(A102="DWF",A102="DNF"),Données_Planning!I100,MOD(Données_Planning!I100,60)))</f>
        <v>0</v>
      </c>
      <c r="T102" s="28" t="str">
        <f t="shared" si="15"/>
        <v>s</v>
      </c>
      <c r="U102" s="37">
        <f>(IF(OR(A102="DWF",A102="DNF"),0,QUOTIENT(Données_Planning!K100,60)))</f>
        <v>0</v>
      </c>
      <c r="V102" s="7" t="str">
        <f t="shared" si="16"/>
        <v>min</v>
      </c>
      <c r="W102" s="36">
        <f>(IF(OR(A102="DWF",A102="DNF"),Données_Planning!K100,MOD(Données_Planning!K100,60)))</f>
        <v>0</v>
      </c>
      <c r="X102" s="38" t="str">
        <f t="shared" si="17"/>
        <v>s</v>
      </c>
      <c r="Y102" s="42"/>
    </row>
    <row r="103" spans="1:25" ht="15.75" x14ac:dyDescent="0.25">
      <c r="A103" s="4">
        <f>Données_Planning!A101</f>
        <v>0</v>
      </c>
      <c r="B103" s="6">
        <f>Données_Planning!B101</f>
        <v>0</v>
      </c>
      <c r="C103" s="28">
        <f>Données_Planning!C101</f>
        <v>0</v>
      </c>
      <c r="D103" s="50">
        <f t="shared" si="9"/>
        <v>0</v>
      </c>
      <c r="E103" s="51">
        <f t="shared" si="10"/>
        <v>0</v>
      </c>
      <c r="F103" s="52">
        <f t="shared" si="11"/>
        <v>0</v>
      </c>
      <c r="G103" s="47">
        <f>Données_Planning!L101</f>
        <v>0</v>
      </c>
      <c r="H103" s="18">
        <f>Données_Planning!H101</f>
        <v>0</v>
      </c>
      <c r="I103" s="5">
        <f>Données_Planning!D101</f>
        <v>0</v>
      </c>
      <c r="J103" s="22">
        <f>Données_Planning!F101</f>
        <v>0</v>
      </c>
      <c r="K103" s="22">
        <f>Données_Planning!E101</f>
        <v>0</v>
      </c>
      <c r="L103" s="35">
        <f>Données_Planning!G101</f>
        <v>0</v>
      </c>
      <c r="M103" s="37">
        <f>(IF(OR(A103="DWF",A103="DNF"),0,QUOTIENT(Données_Planning!J101,60)))</f>
        <v>0</v>
      </c>
      <c r="N103" s="7" t="str">
        <f t="shared" si="12"/>
        <v>min</v>
      </c>
      <c r="O103" s="36">
        <f>(IF(OR(A103="DWF",A103="DNF"),Données_Planning!J101,MOD(Données_Planning!J101,60)))</f>
        <v>0</v>
      </c>
      <c r="P103" s="28" t="str">
        <f t="shared" si="13"/>
        <v>s</v>
      </c>
      <c r="Q103" s="37">
        <f>(IF(OR(A103="DWF",A103="DNF"),0,QUOTIENT(Données_Planning!I101,60)))</f>
        <v>0</v>
      </c>
      <c r="R103" s="7" t="str">
        <f t="shared" si="14"/>
        <v>min</v>
      </c>
      <c r="S103" s="36">
        <f>(IF(OR(A103="DWF",A103="DNF"),Données_Planning!I101,MOD(Données_Planning!I101,60)))</f>
        <v>0</v>
      </c>
      <c r="T103" s="28" t="str">
        <f t="shared" si="15"/>
        <v>s</v>
      </c>
      <c r="U103" s="37">
        <f>(IF(OR(A103="DWF",A103="DNF"),0,QUOTIENT(Données_Planning!K101,60)))</f>
        <v>0</v>
      </c>
      <c r="V103" s="7" t="str">
        <f t="shared" si="16"/>
        <v>min</v>
      </c>
      <c r="W103" s="36">
        <f>(IF(OR(A103="DWF",A103="DNF"),Données_Planning!K101,MOD(Données_Planning!K101,60)))</f>
        <v>0</v>
      </c>
      <c r="X103" s="38" t="str">
        <f t="shared" si="17"/>
        <v>s</v>
      </c>
      <c r="Y103" s="42"/>
    </row>
    <row r="104" spans="1:25" ht="15.75" x14ac:dyDescent="0.25">
      <c r="A104" s="4">
        <f>Données_Planning!A102</f>
        <v>0</v>
      </c>
      <c r="B104" s="6">
        <f>Données_Planning!B102</f>
        <v>0</v>
      </c>
      <c r="C104" s="28">
        <f>Données_Planning!C102</f>
        <v>0</v>
      </c>
      <c r="D104" s="50">
        <f t="shared" si="9"/>
        <v>0</v>
      </c>
      <c r="E104" s="51">
        <f t="shared" si="10"/>
        <v>0</v>
      </c>
      <c r="F104" s="52">
        <f t="shared" si="11"/>
        <v>0</v>
      </c>
      <c r="G104" s="47">
        <f>Données_Planning!L102</f>
        <v>0</v>
      </c>
      <c r="H104" s="18">
        <f>Données_Planning!H102</f>
        <v>0</v>
      </c>
      <c r="I104" s="5">
        <f>Données_Planning!D102</f>
        <v>0</v>
      </c>
      <c r="J104" s="22">
        <f>Données_Planning!F102</f>
        <v>0</v>
      </c>
      <c r="K104" s="22">
        <f>Données_Planning!E102</f>
        <v>0</v>
      </c>
      <c r="L104" s="35">
        <f>Données_Planning!G102</f>
        <v>0</v>
      </c>
      <c r="M104" s="37">
        <f>(IF(OR(A104="DWF",A104="DNF"),0,QUOTIENT(Données_Planning!J102,60)))</f>
        <v>0</v>
      </c>
      <c r="N104" s="7" t="str">
        <f t="shared" si="12"/>
        <v>min</v>
      </c>
      <c r="O104" s="36">
        <f>(IF(OR(A104="DWF",A104="DNF"),Données_Planning!J102,MOD(Données_Planning!J102,60)))</f>
        <v>0</v>
      </c>
      <c r="P104" s="28" t="str">
        <f t="shared" si="13"/>
        <v>s</v>
      </c>
      <c r="Q104" s="37">
        <f>(IF(OR(A104="DWF",A104="DNF"),0,QUOTIENT(Données_Planning!I102,60)))</f>
        <v>0</v>
      </c>
      <c r="R104" s="7" t="str">
        <f t="shared" si="14"/>
        <v>min</v>
      </c>
      <c r="S104" s="36">
        <f>(IF(OR(A104="DWF",A104="DNF"),Données_Planning!I102,MOD(Données_Planning!I102,60)))</f>
        <v>0</v>
      </c>
      <c r="T104" s="28" t="str">
        <f t="shared" si="15"/>
        <v>s</v>
      </c>
      <c r="U104" s="37">
        <f>(IF(OR(A104="DWF",A104="DNF"),0,QUOTIENT(Données_Planning!K102,60)))</f>
        <v>0</v>
      </c>
      <c r="V104" s="7" t="str">
        <f t="shared" si="16"/>
        <v>min</v>
      </c>
      <c r="W104" s="36">
        <f>(IF(OR(A104="DWF",A104="DNF"),Données_Planning!K102,MOD(Données_Planning!K102,60)))</f>
        <v>0</v>
      </c>
      <c r="X104" s="38" t="str">
        <f t="shared" si="17"/>
        <v>s</v>
      </c>
      <c r="Y104" s="42"/>
    </row>
    <row r="105" spans="1:25" ht="15.75" x14ac:dyDescent="0.25">
      <c r="A105" s="4">
        <f>Données_Planning!A103</f>
        <v>0</v>
      </c>
      <c r="B105" s="6">
        <f>Données_Planning!B103</f>
        <v>0</v>
      </c>
      <c r="C105" s="28">
        <f>Données_Planning!C103</f>
        <v>0</v>
      </c>
      <c r="D105" s="50">
        <f t="shared" si="9"/>
        <v>0</v>
      </c>
      <c r="E105" s="51">
        <f t="shared" si="10"/>
        <v>0</v>
      </c>
      <c r="F105" s="52">
        <f t="shared" si="11"/>
        <v>0</v>
      </c>
      <c r="G105" s="47">
        <f>Données_Planning!L103</f>
        <v>0</v>
      </c>
      <c r="H105" s="18">
        <f>Données_Planning!H103</f>
        <v>0</v>
      </c>
      <c r="I105" s="5">
        <f>Données_Planning!D103</f>
        <v>0</v>
      </c>
      <c r="J105" s="22">
        <f>Données_Planning!F103</f>
        <v>0</v>
      </c>
      <c r="K105" s="22">
        <f>Données_Planning!E103</f>
        <v>0</v>
      </c>
      <c r="L105" s="35">
        <f>Données_Planning!G103</f>
        <v>0</v>
      </c>
      <c r="M105" s="37">
        <f>(IF(OR(A105="DWF",A105="DNF"),0,QUOTIENT(Données_Planning!J103,60)))</f>
        <v>0</v>
      </c>
      <c r="N105" s="7" t="str">
        <f t="shared" si="12"/>
        <v>min</v>
      </c>
      <c r="O105" s="36">
        <f>(IF(OR(A105="DWF",A105="DNF"),Données_Planning!J103,MOD(Données_Planning!J103,60)))</f>
        <v>0</v>
      </c>
      <c r="P105" s="28" t="str">
        <f t="shared" si="13"/>
        <v>s</v>
      </c>
      <c r="Q105" s="37">
        <f>(IF(OR(A105="DWF",A105="DNF"),0,QUOTIENT(Données_Planning!I103,60)))</f>
        <v>0</v>
      </c>
      <c r="R105" s="7" t="str">
        <f t="shared" si="14"/>
        <v>min</v>
      </c>
      <c r="S105" s="36">
        <f>(IF(OR(A105="DWF",A105="DNF"),Données_Planning!I103,MOD(Données_Planning!I103,60)))</f>
        <v>0</v>
      </c>
      <c r="T105" s="28" t="str">
        <f t="shared" si="15"/>
        <v>s</v>
      </c>
      <c r="U105" s="37">
        <f>(IF(OR(A105="DWF",A105="DNF"),0,QUOTIENT(Données_Planning!K103,60)))</f>
        <v>0</v>
      </c>
      <c r="V105" s="7" t="str">
        <f t="shared" si="16"/>
        <v>min</v>
      </c>
      <c r="W105" s="36">
        <f>(IF(OR(A105="DWF",A105="DNF"),Données_Planning!K103,MOD(Données_Planning!K103,60)))</f>
        <v>0</v>
      </c>
      <c r="X105" s="38" t="str">
        <f t="shared" si="17"/>
        <v>s</v>
      </c>
      <c r="Y105" s="42"/>
    </row>
    <row r="106" spans="1:25" ht="15.75" x14ac:dyDescent="0.25">
      <c r="A106" s="4">
        <f>Données_Planning!A104</f>
        <v>0</v>
      </c>
      <c r="B106" s="6">
        <f>Données_Planning!B104</f>
        <v>0</v>
      </c>
      <c r="C106" s="28">
        <f>Données_Planning!C104</f>
        <v>0</v>
      </c>
      <c r="D106" s="50">
        <f t="shared" si="9"/>
        <v>0</v>
      </c>
      <c r="E106" s="51">
        <f t="shared" si="10"/>
        <v>0</v>
      </c>
      <c r="F106" s="52">
        <f t="shared" si="11"/>
        <v>0</v>
      </c>
      <c r="G106" s="47">
        <f>Données_Planning!L104</f>
        <v>0</v>
      </c>
      <c r="H106" s="18">
        <f>Données_Planning!H104</f>
        <v>0</v>
      </c>
      <c r="I106" s="5">
        <f>Données_Planning!D104</f>
        <v>0</v>
      </c>
      <c r="J106" s="22">
        <f>Données_Planning!F104</f>
        <v>0</v>
      </c>
      <c r="K106" s="22">
        <f>Données_Planning!E104</f>
        <v>0</v>
      </c>
      <c r="L106" s="35">
        <f>Données_Planning!G104</f>
        <v>0</v>
      </c>
      <c r="M106" s="37">
        <f>(IF(OR(A106="DWF",A106="DNF"),0,QUOTIENT(Données_Planning!J104,60)))</f>
        <v>0</v>
      </c>
      <c r="N106" s="7" t="str">
        <f t="shared" si="12"/>
        <v>min</v>
      </c>
      <c r="O106" s="36">
        <f>(IF(OR(A106="DWF",A106="DNF"),Données_Planning!J104,MOD(Données_Planning!J104,60)))</f>
        <v>0</v>
      </c>
      <c r="P106" s="28" t="str">
        <f t="shared" si="13"/>
        <v>s</v>
      </c>
      <c r="Q106" s="37">
        <f>(IF(OR(A106="DWF",A106="DNF"),0,QUOTIENT(Données_Planning!I104,60)))</f>
        <v>0</v>
      </c>
      <c r="R106" s="7" t="str">
        <f t="shared" si="14"/>
        <v>min</v>
      </c>
      <c r="S106" s="36">
        <f>(IF(OR(A106="DWF",A106="DNF"),Données_Planning!I104,MOD(Données_Planning!I104,60)))</f>
        <v>0</v>
      </c>
      <c r="T106" s="28" t="str">
        <f t="shared" si="15"/>
        <v>s</v>
      </c>
      <c r="U106" s="37">
        <f>(IF(OR(A106="DWF",A106="DNF"),0,QUOTIENT(Données_Planning!K104,60)))</f>
        <v>0</v>
      </c>
      <c r="V106" s="7" t="str">
        <f t="shared" si="16"/>
        <v>min</v>
      </c>
      <c r="W106" s="36">
        <f>(IF(OR(A106="DWF",A106="DNF"),Données_Planning!K104,MOD(Données_Planning!K104,60)))</f>
        <v>0</v>
      </c>
      <c r="X106" s="38" t="str">
        <f t="shared" si="17"/>
        <v>s</v>
      </c>
      <c r="Y106" s="42"/>
    </row>
    <row r="107" spans="1:25" ht="15.75" x14ac:dyDescent="0.25">
      <c r="A107" s="4">
        <f>Données_Planning!A105</f>
        <v>0</v>
      </c>
      <c r="B107" s="6">
        <f>Données_Planning!B105</f>
        <v>0</v>
      </c>
      <c r="C107" s="28">
        <f>Données_Planning!C105</f>
        <v>0</v>
      </c>
      <c r="D107" s="50">
        <f t="shared" si="9"/>
        <v>0</v>
      </c>
      <c r="E107" s="51">
        <f t="shared" si="10"/>
        <v>0</v>
      </c>
      <c r="F107" s="52">
        <f t="shared" si="11"/>
        <v>0</v>
      </c>
      <c r="G107" s="47">
        <f>Données_Planning!L105</f>
        <v>0</v>
      </c>
      <c r="H107" s="18">
        <f>Données_Planning!H105</f>
        <v>0</v>
      </c>
      <c r="I107" s="5">
        <f>Données_Planning!D105</f>
        <v>0</v>
      </c>
      <c r="J107" s="22">
        <f>Données_Planning!F105</f>
        <v>0</v>
      </c>
      <c r="K107" s="22">
        <f>Données_Planning!E105</f>
        <v>0</v>
      </c>
      <c r="L107" s="35">
        <f>Données_Planning!G105</f>
        <v>0</v>
      </c>
      <c r="M107" s="37">
        <f>(IF(OR(A107="DWF",A107="DNF"),0,QUOTIENT(Données_Planning!J105,60)))</f>
        <v>0</v>
      </c>
      <c r="N107" s="7" t="str">
        <f t="shared" si="12"/>
        <v>min</v>
      </c>
      <c r="O107" s="36">
        <f>(IF(OR(A107="DWF",A107="DNF"),Données_Planning!J105,MOD(Données_Planning!J105,60)))</f>
        <v>0</v>
      </c>
      <c r="P107" s="28" t="str">
        <f t="shared" si="13"/>
        <v>s</v>
      </c>
      <c r="Q107" s="37">
        <f>(IF(OR(A107="DWF",A107="DNF"),0,QUOTIENT(Données_Planning!I105,60)))</f>
        <v>0</v>
      </c>
      <c r="R107" s="7" t="str">
        <f t="shared" si="14"/>
        <v>min</v>
      </c>
      <c r="S107" s="36">
        <f>(IF(OR(A107="DWF",A107="DNF"),Données_Planning!I105,MOD(Données_Planning!I105,60)))</f>
        <v>0</v>
      </c>
      <c r="T107" s="28" t="str">
        <f t="shared" si="15"/>
        <v>s</v>
      </c>
      <c r="U107" s="37">
        <f>(IF(OR(A107="DWF",A107="DNF"),0,QUOTIENT(Données_Planning!K105,60)))</f>
        <v>0</v>
      </c>
      <c r="V107" s="7" t="str">
        <f t="shared" si="16"/>
        <v>min</v>
      </c>
      <c r="W107" s="36">
        <f>(IF(OR(A107="DWF",A107="DNF"),Données_Planning!K105,MOD(Données_Planning!K105,60)))</f>
        <v>0</v>
      </c>
      <c r="X107" s="38" t="str">
        <f t="shared" si="17"/>
        <v>s</v>
      </c>
      <c r="Y107" s="42"/>
    </row>
    <row r="108" spans="1:25" ht="15.75" x14ac:dyDescent="0.25">
      <c r="A108" s="4">
        <f>Données_Planning!A106</f>
        <v>0</v>
      </c>
      <c r="B108" s="6">
        <f>Données_Planning!B106</f>
        <v>0</v>
      </c>
      <c r="C108" s="28">
        <f>Données_Planning!C106</f>
        <v>0</v>
      </c>
      <c r="D108" s="50">
        <f t="shared" si="9"/>
        <v>0</v>
      </c>
      <c r="E108" s="51">
        <f t="shared" si="10"/>
        <v>0</v>
      </c>
      <c r="F108" s="52">
        <f t="shared" si="11"/>
        <v>0</v>
      </c>
      <c r="G108" s="47">
        <f>Données_Planning!L106</f>
        <v>0</v>
      </c>
      <c r="H108" s="18">
        <f>Données_Planning!H106</f>
        <v>0</v>
      </c>
      <c r="I108" s="5">
        <f>Données_Planning!D106</f>
        <v>0</v>
      </c>
      <c r="J108" s="22">
        <f>Données_Planning!F106</f>
        <v>0</v>
      </c>
      <c r="K108" s="22">
        <f>Données_Planning!E106</f>
        <v>0</v>
      </c>
      <c r="L108" s="35">
        <f>Données_Planning!G106</f>
        <v>0</v>
      </c>
      <c r="M108" s="37">
        <f>(IF(OR(A108="DWF",A108="DNF"),0,QUOTIENT(Données_Planning!J106,60)))</f>
        <v>0</v>
      </c>
      <c r="N108" s="7" t="str">
        <f t="shared" si="12"/>
        <v>min</v>
      </c>
      <c r="O108" s="36">
        <f>(IF(OR(A108="DWF",A108="DNF"),Données_Planning!J106,MOD(Données_Planning!J106,60)))</f>
        <v>0</v>
      </c>
      <c r="P108" s="28" t="str">
        <f t="shared" si="13"/>
        <v>s</v>
      </c>
      <c r="Q108" s="37">
        <f>(IF(OR(A108="DWF",A108="DNF"),0,QUOTIENT(Données_Planning!I106,60)))</f>
        <v>0</v>
      </c>
      <c r="R108" s="7" t="str">
        <f t="shared" si="14"/>
        <v>min</v>
      </c>
      <c r="S108" s="36">
        <f>(IF(OR(A108="DWF",A108="DNF"),Données_Planning!I106,MOD(Données_Planning!I106,60)))</f>
        <v>0</v>
      </c>
      <c r="T108" s="28" t="str">
        <f t="shared" si="15"/>
        <v>s</v>
      </c>
      <c r="U108" s="37">
        <f>(IF(OR(A108="DWF",A108="DNF"),0,QUOTIENT(Données_Planning!K106,60)))</f>
        <v>0</v>
      </c>
      <c r="V108" s="7" t="str">
        <f t="shared" si="16"/>
        <v>min</v>
      </c>
      <c r="W108" s="36">
        <f>(IF(OR(A108="DWF",A108="DNF"),Données_Planning!K106,MOD(Données_Planning!K106,60)))</f>
        <v>0</v>
      </c>
      <c r="X108" s="38" t="str">
        <f t="shared" si="17"/>
        <v>s</v>
      </c>
      <c r="Y108" s="42"/>
    </row>
    <row r="109" spans="1:25" ht="15.75" x14ac:dyDescent="0.25">
      <c r="A109" s="4">
        <f>Données_Planning!A107</f>
        <v>0</v>
      </c>
      <c r="B109" s="6">
        <f>Données_Planning!B107</f>
        <v>0</v>
      </c>
      <c r="C109" s="28">
        <f>Données_Planning!C107</f>
        <v>0</v>
      </c>
      <c r="D109" s="50">
        <f t="shared" si="9"/>
        <v>0</v>
      </c>
      <c r="E109" s="51">
        <f t="shared" si="10"/>
        <v>0</v>
      </c>
      <c r="F109" s="52">
        <f t="shared" si="11"/>
        <v>0</v>
      </c>
      <c r="G109" s="47">
        <f>Données_Planning!L107</f>
        <v>0</v>
      </c>
      <c r="H109" s="18">
        <f>Données_Planning!H107</f>
        <v>0</v>
      </c>
      <c r="I109" s="5">
        <f>Données_Planning!D107</f>
        <v>0</v>
      </c>
      <c r="J109" s="22">
        <f>Données_Planning!F107</f>
        <v>0</v>
      </c>
      <c r="K109" s="22">
        <f>Données_Planning!E107</f>
        <v>0</v>
      </c>
      <c r="L109" s="35">
        <f>Données_Planning!G107</f>
        <v>0</v>
      </c>
      <c r="M109" s="37">
        <f>(IF(OR(A109="DWF",A109="DNF"),0,QUOTIENT(Données_Planning!J107,60)))</f>
        <v>0</v>
      </c>
      <c r="N109" s="7" t="str">
        <f t="shared" si="12"/>
        <v>min</v>
      </c>
      <c r="O109" s="36">
        <f>(IF(OR(A109="DWF",A109="DNF"),Données_Planning!J107,MOD(Données_Planning!J107,60)))</f>
        <v>0</v>
      </c>
      <c r="P109" s="28" t="str">
        <f t="shared" si="13"/>
        <v>s</v>
      </c>
      <c r="Q109" s="37">
        <f>(IF(OR(A109="DWF",A109="DNF"),0,QUOTIENT(Données_Planning!I107,60)))</f>
        <v>0</v>
      </c>
      <c r="R109" s="7" t="str">
        <f t="shared" si="14"/>
        <v>min</v>
      </c>
      <c r="S109" s="36">
        <f>(IF(OR(A109="DWF",A109="DNF"),Données_Planning!I107,MOD(Données_Planning!I107,60)))</f>
        <v>0</v>
      </c>
      <c r="T109" s="28" t="str">
        <f t="shared" si="15"/>
        <v>s</v>
      </c>
      <c r="U109" s="37">
        <f>(IF(OR(A109="DWF",A109="DNF"),0,QUOTIENT(Données_Planning!K107,60)))</f>
        <v>0</v>
      </c>
      <c r="V109" s="7" t="str">
        <f t="shared" si="16"/>
        <v>min</v>
      </c>
      <c r="W109" s="36">
        <f>(IF(OR(A109="DWF",A109="DNF"),Données_Planning!K107,MOD(Données_Planning!K107,60)))</f>
        <v>0</v>
      </c>
      <c r="X109" s="38" t="str">
        <f t="shared" si="17"/>
        <v>s</v>
      </c>
      <c r="Y109" s="42"/>
    </row>
    <row r="110" spans="1:25" ht="15.75" x14ac:dyDescent="0.25">
      <c r="A110" s="4">
        <f>Données_Planning!A108</f>
        <v>0</v>
      </c>
      <c r="B110" s="6">
        <f>Données_Planning!B108</f>
        <v>0</v>
      </c>
      <c r="C110" s="28">
        <f>Données_Planning!C108</f>
        <v>0</v>
      </c>
      <c r="D110" s="50">
        <f t="shared" si="9"/>
        <v>0</v>
      </c>
      <c r="E110" s="51">
        <f t="shared" si="10"/>
        <v>0</v>
      </c>
      <c r="F110" s="52">
        <f t="shared" si="11"/>
        <v>0</v>
      </c>
      <c r="G110" s="47">
        <f>Données_Planning!L108</f>
        <v>0</v>
      </c>
      <c r="H110" s="18">
        <f>Données_Planning!H108</f>
        <v>0</v>
      </c>
      <c r="I110" s="5">
        <f>Données_Planning!D108</f>
        <v>0</v>
      </c>
      <c r="J110" s="22">
        <f>Données_Planning!F108</f>
        <v>0</v>
      </c>
      <c r="K110" s="22">
        <f>Données_Planning!E108</f>
        <v>0</v>
      </c>
      <c r="L110" s="35">
        <f>Données_Planning!G108</f>
        <v>0</v>
      </c>
      <c r="M110" s="37">
        <f>(IF(OR(A110="DWF",A110="DNF"),0,QUOTIENT(Données_Planning!J108,60)))</f>
        <v>0</v>
      </c>
      <c r="N110" s="7" t="str">
        <f t="shared" si="12"/>
        <v>min</v>
      </c>
      <c r="O110" s="36">
        <f>(IF(OR(A110="DWF",A110="DNF"),Données_Planning!J108,MOD(Données_Planning!J108,60)))</f>
        <v>0</v>
      </c>
      <c r="P110" s="28" t="str">
        <f t="shared" si="13"/>
        <v>s</v>
      </c>
      <c r="Q110" s="37">
        <f>(IF(OR(A110="DWF",A110="DNF"),0,QUOTIENT(Données_Planning!I108,60)))</f>
        <v>0</v>
      </c>
      <c r="R110" s="7" t="str">
        <f t="shared" si="14"/>
        <v>min</v>
      </c>
      <c r="S110" s="36">
        <f>(IF(OR(A110="DWF",A110="DNF"),Données_Planning!I108,MOD(Données_Planning!I108,60)))</f>
        <v>0</v>
      </c>
      <c r="T110" s="28" t="str">
        <f t="shared" si="15"/>
        <v>s</v>
      </c>
      <c r="U110" s="37">
        <f>(IF(OR(A110="DWF",A110="DNF"),0,QUOTIENT(Données_Planning!K108,60)))</f>
        <v>0</v>
      </c>
      <c r="V110" s="7" t="str">
        <f t="shared" si="16"/>
        <v>min</v>
      </c>
      <c r="W110" s="36">
        <f>(IF(OR(A110="DWF",A110="DNF"),Données_Planning!K108,MOD(Données_Planning!K108,60)))</f>
        <v>0</v>
      </c>
      <c r="X110" s="38" t="str">
        <f t="shared" si="17"/>
        <v>s</v>
      </c>
      <c r="Y110" s="42"/>
    </row>
    <row r="111" spans="1:25" ht="15.75" x14ac:dyDescent="0.25">
      <c r="A111" s="4">
        <f>Données_Planning!A109</f>
        <v>0</v>
      </c>
      <c r="B111" s="6">
        <f>Données_Planning!B109</f>
        <v>0</v>
      </c>
      <c r="C111" s="28">
        <f>Données_Planning!C109</f>
        <v>0</v>
      </c>
      <c r="D111" s="50">
        <f t="shared" si="9"/>
        <v>0</v>
      </c>
      <c r="E111" s="51">
        <f t="shared" si="10"/>
        <v>0</v>
      </c>
      <c r="F111" s="52">
        <f t="shared" si="11"/>
        <v>0</v>
      </c>
      <c r="G111" s="47">
        <f>Données_Planning!L109</f>
        <v>0</v>
      </c>
      <c r="H111" s="18">
        <f>Données_Planning!H109</f>
        <v>0</v>
      </c>
      <c r="I111" s="5">
        <f>Données_Planning!D109</f>
        <v>0</v>
      </c>
      <c r="J111" s="22">
        <f>Données_Planning!F109</f>
        <v>0</v>
      </c>
      <c r="K111" s="22">
        <f>Données_Planning!E109</f>
        <v>0</v>
      </c>
      <c r="L111" s="35">
        <f>Données_Planning!G109</f>
        <v>0</v>
      </c>
      <c r="M111" s="37">
        <f>(IF(OR(A111="DWF",A111="DNF"),0,QUOTIENT(Données_Planning!J109,60)))</f>
        <v>0</v>
      </c>
      <c r="N111" s="7" t="str">
        <f t="shared" si="12"/>
        <v>min</v>
      </c>
      <c r="O111" s="36">
        <f>(IF(OR(A111="DWF",A111="DNF"),Données_Planning!J109,MOD(Données_Planning!J109,60)))</f>
        <v>0</v>
      </c>
      <c r="P111" s="28" t="str">
        <f t="shared" si="13"/>
        <v>s</v>
      </c>
      <c r="Q111" s="37">
        <f>(IF(OR(A111="DWF",A111="DNF"),0,QUOTIENT(Données_Planning!I109,60)))</f>
        <v>0</v>
      </c>
      <c r="R111" s="7" t="str">
        <f t="shared" si="14"/>
        <v>min</v>
      </c>
      <c r="S111" s="36">
        <f>(IF(OR(A111="DWF",A111="DNF"),Données_Planning!I109,MOD(Données_Planning!I109,60)))</f>
        <v>0</v>
      </c>
      <c r="T111" s="28" t="str">
        <f t="shared" si="15"/>
        <v>s</v>
      </c>
      <c r="U111" s="37">
        <f>(IF(OR(A111="DWF",A111="DNF"),0,QUOTIENT(Données_Planning!K109,60)))</f>
        <v>0</v>
      </c>
      <c r="V111" s="7" t="str">
        <f t="shared" si="16"/>
        <v>min</v>
      </c>
      <c r="W111" s="36">
        <f>(IF(OR(A111="DWF",A111="DNF"),Données_Planning!K109,MOD(Données_Planning!K109,60)))</f>
        <v>0</v>
      </c>
      <c r="X111" s="38" t="str">
        <f t="shared" si="17"/>
        <v>s</v>
      </c>
      <c r="Y111" s="42"/>
    </row>
    <row r="112" spans="1:25" ht="15.75" x14ac:dyDescent="0.25">
      <c r="A112" s="4">
        <f>Données_Planning!A110</f>
        <v>0</v>
      </c>
      <c r="B112" s="6">
        <f>Données_Planning!B110</f>
        <v>0</v>
      </c>
      <c r="C112" s="28">
        <f>Données_Planning!C110</f>
        <v>0</v>
      </c>
      <c r="D112" s="50">
        <f t="shared" si="9"/>
        <v>0</v>
      </c>
      <c r="E112" s="51">
        <f t="shared" si="10"/>
        <v>0</v>
      </c>
      <c r="F112" s="52">
        <f t="shared" si="11"/>
        <v>0</v>
      </c>
      <c r="G112" s="47">
        <f>Données_Planning!L110</f>
        <v>0</v>
      </c>
      <c r="H112" s="18">
        <f>Données_Planning!H110</f>
        <v>0</v>
      </c>
      <c r="I112" s="5">
        <f>Données_Planning!D110</f>
        <v>0</v>
      </c>
      <c r="J112" s="22">
        <f>Données_Planning!F110</f>
        <v>0</v>
      </c>
      <c r="K112" s="22">
        <f>Données_Planning!E110</f>
        <v>0</v>
      </c>
      <c r="L112" s="35">
        <f>Données_Planning!G110</f>
        <v>0</v>
      </c>
      <c r="M112" s="37">
        <f>(IF(OR(A112="DWF",A112="DNF"),0,QUOTIENT(Données_Planning!J110,60)))</f>
        <v>0</v>
      </c>
      <c r="N112" s="7" t="str">
        <f t="shared" si="12"/>
        <v>min</v>
      </c>
      <c r="O112" s="36">
        <f>(IF(OR(A112="DWF",A112="DNF"),Données_Planning!J110,MOD(Données_Planning!J110,60)))</f>
        <v>0</v>
      </c>
      <c r="P112" s="28" t="str">
        <f t="shared" si="13"/>
        <v>s</v>
      </c>
      <c r="Q112" s="37">
        <f>(IF(OR(A112="DWF",A112="DNF"),0,QUOTIENT(Données_Planning!I110,60)))</f>
        <v>0</v>
      </c>
      <c r="R112" s="7" t="str">
        <f t="shared" si="14"/>
        <v>min</v>
      </c>
      <c r="S112" s="36">
        <f>(IF(OR(A112="DWF",A112="DNF"),Données_Planning!I110,MOD(Données_Planning!I110,60)))</f>
        <v>0</v>
      </c>
      <c r="T112" s="28" t="str">
        <f t="shared" si="15"/>
        <v>s</v>
      </c>
      <c r="U112" s="37">
        <f>(IF(OR(A112="DWF",A112="DNF"),0,QUOTIENT(Données_Planning!K110,60)))</f>
        <v>0</v>
      </c>
      <c r="V112" s="7" t="str">
        <f t="shared" si="16"/>
        <v>min</v>
      </c>
      <c r="W112" s="36">
        <f>(IF(OR(A112="DWF",A112="DNF"),Données_Planning!K110,MOD(Données_Planning!K110,60)))</f>
        <v>0</v>
      </c>
      <c r="X112" s="38" t="str">
        <f t="shared" si="17"/>
        <v>s</v>
      </c>
      <c r="Y112" s="42"/>
    </row>
    <row r="113" spans="1:25" ht="15.75" x14ac:dyDescent="0.25">
      <c r="A113" s="4">
        <f>Données_Planning!A111</f>
        <v>0</v>
      </c>
      <c r="B113" s="6">
        <f>Données_Planning!B111</f>
        <v>0</v>
      </c>
      <c r="C113" s="28">
        <f>Données_Planning!C111</f>
        <v>0</v>
      </c>
      <c r="D113" s="50">
        <f t="shared" si="9"/>
        <v>0</v>
      </c>
      <c r="E113" s="51">
        <f t="shared" si="10"/>
        <v>0</v>
      </c>
      <c r="F113" s="52">
        <f t="shared" si="11"/>
        <v>0</v>
      </c>
      <c r="G113" s="47">
        <f>Données_Planning!L111</f>
        <v>0</v>
      </c>
      <c r="H113" s="18">
        <f>Données_Planning!H111</f>
        <v>0</v>
      </c>
      <c r="I113" s="5">
        <f>Données_Planning!D111</f>
        <v>0</v>
      </c>
      <c r="J113" s="22">
        <f>Données_Planning!F111</f>
        <v>0</v>
      </c>
      <c r="K113" s="22">
        <f>Données_Planning!E111</f>
        <v>0</v>
      </c>
      <c r="L113" s="35">
        <f>Données_Planning!G111</f>
        <v>0</v>
      </c>
      <c r="M113" s="37">
        <f>(IF(OR(A113="DWF",A113="DNF"),0,QUOTIENT(Données_Planning!J111,60)))</f>
        <v>0</v>
      </c>
      <c r="N113" s="7" t="str">
        <f t="shared" si="12"/>
        <v>min</v>
      </c>
      <c r="O113" s="36">
        <f>(IF(OR(A113="DWF",A113="DNF"),Données_Planning!J111,MOD(Données_Planning!J111,60)))</f>
        <v>0</v>
      </c>
      <c r="P113" s="28" t="str">
        <f t="shared" si="13"/>
        <v>s</v>
      </c>
      <c r="Q113" s="37">
        <f>(IF(OR(A113="DWF",A113="DNF"),0,QUOTIENT(Données_Planning!I111,60)))</f>
        <v>0</v>
      </c>
      <c r="R113" s="7" t="str">
        <f t="shared" si="14"/>
        <v>min</v>
      </c>
      <c r="S113" s="36">
        <f>(IF(OR(A113="DWF",A113="DNF"),Données_Planning!I111,MOD(Données_Planning!I111,60)))</f>
        <v>0</v>
      </c>
      <c r="T113" s="28" t="str">
        <f t="shared" si="15"/>
        <v>s</v>
      </c>
      <c r="U113" s="37">
        <f>(IF(OR(A113="DWF",A113="DNF"),0,QUOTIENT(Données_Planning!K111,60)))</f>
        <v>0</v>
      </c>
      <c r="V113" s="7" t="str">
        <f t="shared" si="16"/>
        <v>min</v>
      </c>
      <c r="W113" s="36">
        <f>(IF(OR(A113="DWF",A113="DNF"),Données_Planning!K111,MOD(Données_Planning!K111,60)))</f>
        <v>0</v>
      </c>
      <c r="X113" s="38" t="str">
        <f t="shared" si="17"/>
        <v>s</v>
      </c>
      <c r="Y113" s="42"/>
    </row>
    <row r="114" spans="1:25" ht="15.75" x14ac:dyDescent="0.25">
      <c r="A114" s="4">
        <f>Données_Planning!A112</f>
        <v>0</v>
      </c>
      <c r="B114" s="6">
        <f>Données_Planning!B112</f>
        <v>0</v>
      </c>
      <c r="C114" s="28">
        <f>Données_Planning!C112</f>
        <v>0</v>
      </c>
      <c r="D114" s="50">
        <f t="shared" si="9"/>
        <v>0</v>
      </c>
      <c r="E114" s="51">
        <f t="shared" si="10"/>
        <v>0</v>
      </c>
      <c r="F114" s="52">
        <f t="shared" si="11"/>
        <v>0</v>
      </c>
      <c r="G114" s="47">
        <f>Données_Planning!L112</f>
        <v>0</v>
      </c>
      <c r="H114" s="18">
        <f>Données_Planning!H112</f>
        <v>0</v>
      </c>
      <c r="I114" s="5">
        <f>Données_Planning!D112</f>
        <v>0</v>
      </c>
      <c r="J114" s="22">
        <f>Données_Planning!F112</f>
        <v>0</v>
      </c>
      <c r="K114" s="22">
        <f>Données_Planning!E112</f>
        <v>0</v>
      </c>
      <c r="L114" s="35">
        <f>Données_Planning!G112</f>
        <v>0</v>
      </c>
      <c r="M114" s="37">
        <f>(IF(OR(A114="DWF",A114="DNF"),0,QUOTIENT(Données_Planning!J112,60)))</f>
        <v>0</v>
      </c>
      <c r="N114" s="7" t="str">
        <f t="shared" si="12"/>
        <v>min</v>
      </c>
      <c r="O114" s="36">
        <f>(IF(OR(A114="DWF",A114="DNF"),Données_Planning!J112,MOD(Données_Planning!J112,60)))</f>
        <v>0</v>
      </c>
      <c r="P114" s="28" t="str">
        <f t="shared" si="13"/>
        <v>s</v>
      </c>
      <c r="Q114" s="37">
        <f>(IF(OR(A114="DWF",A114="DNF"),0,QUOTIENT(Données_Planning!I112,60)))</f>
        <v>0</v>
      </c>
      <c r="R114" s="7" t="str">
        <f t="shared" si="14"/>
        <v>min</v>
      </c>
      <c r="S114" s="36">
        <f>(IF(OR(A114="DWF",A114="DNF"),Données_Planning!I112,MOD(Données_Planning!I112,60)))</f>
        <v>0</v>
      </c>
      <c r="T114" s="28" t="str">
        <f t="shared" si="15"/>
        <v>s</v>
      </c>
      <c r="U114" s="37">
        <f>(IF(OR(A114="DWF",A114="DNF"),0,QUOTIENT(Données_Planning!K112,60)))</f>
        <v>0</v>
      </c>
      <c r="V114" s="7" t="str">
        <f t="shared" si="16"/>
        <v>min</v>
      </c>
      <c r="W114" s="36">
        <f>(IF(OR(A114="DWF",A114="DNF"),Données_Planning!K112,MOD(Données_Planning!K112,60)))</f>
        <v>0</v>
      </c>
      <c r="X114" s="38" t="str">
        <f t="shared" si="17"/>
        <v>s</v>
      </c>
      <c r="Y114" s="42"/>
    </row>
    <row r="115" spans="1:25" ht="15.75" x14ac:dyDescent="0.25">
      <c r="A115" s="4">
        <f>Données_Planning!A113</f>
        <v>0</v>
      </c>
      <c r="B115" s="6">
        <f>Données_Planning!B113</f>
        <v>0</v>
      </c>
      <c r="C115" s="28">
        <f>Données_Planning!C113</f>
        <v>0</v>
      </c>
      <c r="D115" s="50">
        <f t="shared" si="9"/>
        <v>0</v>
      </c>
      <c r="E115" s="51">
        <f t="shared" si="10"/>
        <v>0</v>
      </c>
      <c r="F115" s="52">
        <f t="shared" si="11"/>
        <v>0</v>
      </c>
      <c r="G115" s="47">
        <f>Données_Planning!L113</f>
        <v>0</v>
      </c>
      <c r="H115" s="18">
        <f>Données_Planning!H113</f>
        <v>0</v>
      </c>
      <c r="I115" s="5">
        <f>Données_Planning!D113</f>
        <v>0</v>
      </c>
      <c r="J115" s="22">
        <f>Données_Planning!F113</f>
        <v>0</v>
      </c>
      <c r="K115" s="22">
        <f>Données_Planning!E113</f>
        <v>0</v>
      </c>
      <c r="L115" s="35">
        <f>Données_Planning!G113</f>
        <v>0</v>
      </c>
      <c r="M115" s="37">
        <f>(IF(OR(A115="DWF",A115="DNF"),0,QUOTIENT(Données_Planning!J113,60)))</f>
        <v>0</v>
      </c>
      <c r="N115" s="7" t="str">
        <f t="shared" si="12"/>
        <v>min</v>
      </c>
      <c r="O115" s="36">
        <f>(IF(OR(A115="DWF",A115="DNF"),Données_Planning!J113,MOD(Données_Planning!J113,60)))</f>
        <v>0</v>
      </c>
      <c r="P115" s="28" t="str">
        <f t="shared" si="13"/>
        <v>s</v>
      </c>
      <c r="Q115" s="37">
        <f>(IF(OR(A115="DWF",A115="DNF"),0,QUOTIENT(Données_Planning!I113,60)))</f>
        <v>0</v>
      </c>
      <c r="R115" s="7" t="str">
        <f t="shared" si="14"/>
        <v>min</v>
      </c>
      <c r="S115" s="36">
        <f>(IF(OR(A115="DWF",A115="DNF"),Données_Planning!I113,MOD(Données_Planning!I113,60)))</f>
        <v>0</v>
      </c>
      <c r="T115" s="28" t="str">
        <f t="shared" si="15"/>
        <v>s</v>
      </c>
      <c r="U115" s="37">
        <f>(IF(OR(A115="DWF",A115="DNF"),0,QUOTIENT(Données_Planning!K113,60)))</f>
        <v>0</v>
      </c>
      <c r="V115" s="7" t="str">
        <f t="shared" si="16"/>
        <v>min</v>
      </c>
      <c r="W115" s="36">
        <f>(IF(OR(A115="DWF",A115="DNF"),Données_Planning!K113,MOD(Données_Planning!K113,60)))</f>
        <v>0</v>
      </c>
      <c r="X115" s="38" t="str">
        <f t="shared" si="17"/>
        <v>s</v>
      </c>
      <c r="Y115" s="42"/>
    </row>
    <row r="116" spans="1:25" ht="15.75" x14ac:dyDescent="0.25">
      <c r="A116" s="4">
        <f>Données_Planning!A114</f>
        <v>0</v>
      </c>
      <c r="B116" s="6">
        <f>Données_Planning!B114</f>
        <v>0</v>
      </c>
      <c r="C116" s="28">
        <f>Données_Planning!C114</f>
        <v>0</v>
      </c>
      <c r="D116" s="50">
        <f t="shared" si="9"/>
        <v>0</v>
      </c>
      <c r="E116" s="51">
        <f t="shared" si="10"/>
        <v>0</v>
      </c>
      <c r="F116" s="52">
        <f t="shared" si="11"/>
        <v>0</v>
      </c>
      <c r="G116" s="47">
        <f>Données_Planning!L114</f>
        <v>0</v>
      </c>
      <c r="H116" s="18">
        <f>Données_Planning!H114</f>
        <v>0</v>
      </c>
      <c r="I116" s="5">
        <f>Données_Planning!D114</f>
        <v>0</v>
      </c>
      <c r="J116" s="22">
        <f>Données_Planning!F114</f>
        <v>0</v>
      </c>
      <c r="K116" s="22">
        <f>Données_Planning!E114</f>
        <v>0</v>
      </c>
      <c r="L116" s="35">
        <f>Données_Planning!G114</f>
        <v>0</v>
      </c>
      <c r="M116" s="37">
        <f>(IF(OR(A116="DWF",A116="DNF"),0,QUOTIENT(Données_Planning!J114,60)))</f>
        <v>0</v>
      </c>
      <c r="N116" s="7" t="str">
        <f t="shared" si="12"/>
        <v>min</v>
      </c>
      <c r="O116" s="36">
        <f>(IF(OR(A116="DWF",A116="DNF"),Données_Planning!J114,MOD(Données_Planning!J114,60)))</f>
        <v>0</v>
      </c>
      <c r="P116" s="28" t="str">
        <f t="shared" si="13"/>
        <v>s</v>
      </c>
      <c r="Q116" s="37">
        <f>(IF(OR(A116="DWF",A116="DNF"),0,QUOTIENT(Données_Planning!I114,60)))</f>
        <v>0</v>
      </c>
      <c r="R116" s="7" t="str">
        <f t="shared" si="14"/>
        <v>min</v>
      </c>
      <c r="S116" s="36">
        <f>(IF(OR(A116="DWF",A116="DNF"),Données_Planning!I114,MOD(Données_Planning!I114,60)))</f>
        <v>0</v>
      </c>
      <c r="T116" s="28" t="str">
        <f t="shared" si="15"/>
        <v>s</v>
      </c>
      <c r="U116" s="37">
        <f>(IF(OR(A116="DWF",A116="DNF"),0,QUOTIENT(Données_Planning!K114,60)))</f>
        <v>0</v>
      </c>
      <c r="V116" s="7" t="str">
        <f t="shared" si="16"/>
        <v>min</v>
      </c>
      <c r="W116" s="36">
        <f>(IF(OR(A116="DWF",A116="DNF"),Données_Planning!K114,MOD(Données_Planning!K114,60)))</f>
        <v>0</v>
      </c>
      <c r="X116" s="38" t="str">
        <f t="shared" si="17"/>
        <v>s</v>
      </c>
      <c r="Y116" s="42"/>
    </row>
    <row r="117" spans="1:25" ht="15.75" x14ac:dyDescent="0.25">
      <c r="A117" s="4">
        <f>Données_Planning!A115</f>
        <v>0</v>
      </c>
      <c r="B117" s="6">
        <f>Données_Planning!B115</f>
        <v>0</v>
      </c>
      <c r="C117" s="28">
        <f>Données_Planning!C115</f>
        <v>0</v>
      </c>
      <c r="D117" s="50">
        <f t="shared" si="9"/>
        <v>0</v>
      </c>
      <c r="E117" s="51">
        <f t="shared" si="10"/>
        <v>0</v>
      </c>
      <c r="F117" s="52">
        <f t="shared" si="11"/>
        <v>0</v>
      </c>
      <c r="G117" s="47">
        <f>Données_Planning!L115</f>
        <v>0</v>
      </c>
      <c r="H117" s="18">
        <f>Données_Planning!H115</f>
        <v>0</v>
      </c>
      <c r="I117" s="5">
        <f>Données_Planning!D115</f>
        <v>0</v>
      </c>
      <c r="J117" s="22">
        <f>Données_Planning!F115</f>
        <v>0</v>
      </c>
      <c r="K117" s="22">
        <f>Données_Planning!E115</f>
        <v>0</v>
      </c>
      <c r="L117" s="35">
        <f>Données_Planning!G115</f>
        <v>0</v>
      </c>
      <c r="M117" s="37">
        <f>(IF(OR(A117="DWF",A117="DNF"),0,QUOTIENT(Données_Planning!J115,60)))</f>
        <v>0</v>
      </c>
      <c r="N117" s="7" t="str">
        <f t="shared" si="12"/>
        <v>min</v>
      </c>
      <c r="O117" s="36">
        <f>(IF(OR(A117="DWF",A117="DNF"),Données_Planning!J115,MOD(Données_Planning!J115,60)))</f>
        <v>0</v>
      </c>
      <c r="P117" s="28" t="str">
        <f t="shared" si="13"/>
        <v>s</v>
      </c>
      <c r="Q117" s="37">
        <f>(IF(OR(A117="DWF",A117="DNF"),0,QUOTIENT(Données_Planning!I115,60)))</f>
        <v>0</v>
      </c>
      <c r="R117" s="7" t="str">
        <f t="shared" si="14"/>
        <v>min</v>
      </c>
      <c r="S117" s="36">
        <f>(IF(OR(A117="DWF",A117="DNF"),Données_Planning!I115,MOD(Données_Planning!I115,60)))</f>
        <v>0</v>
      </c>
      <c r="T117" s="28" t="str">
        <f t="shared" si="15"/>
        <v>s</v>
      </c>
      <c r="U117" s="37">
        <f>(IF(OR(A117="DWF",A117="DNF"),0,QUOTIENT(Données_Planning!K115,60)))</f>
        <v>0</v>
      </c>
      <c r="V117" s="7" t="str">
        <f t="shared" si="16"/>
        <v>min</v>
      </c>
      <c r="W117" s="36">
        <f>(IF(OR(A117="DWF",A117="DNF"),Données_Planning!K115,MOD(Données_Planning!K115,60)))</f>
        <v>0</v>
      </c>
      <c r="X117" s="38" t="str">
        <f t="shared" si="17"/>
        <v>s</v>
      </c>
      <c r="Y117" s="42"/>
    </row>
    <row r="118" spans="1:25" ht="15.75" x14ac:dyDescent="0.25">
      <c r="A118" s="4">
        <f>Données_Planning!A116</f>
        <v>0</v>
      </c>
      <c r="B118" s="6">
        <f>Données_Planning!B116</f>
        <v>0</v>
      </c>
      <c r="C118" s="28">
        <f>Données_Planning!C116</f>
        <v>0</v>
      </c>
      <c r="D118" s="50">
        <f t="shared" si="9"/>
        <v>0</v>
      </c>
      <c r="E118" s="51">
        <f t="shared" si="10"/>
        <v>0</v>
      </c>
      <c r="F118" s="52">
        <f t="shared" si="11"/>
        <v>0</v>
      </c>
      <c r="G118" s="47">
        <f>Données_Planning!L116</f>
        <v>0</v>
      </c>
      <c r="H118" s="18">
        <f>Données_Planning!H116</f>
        <v>0</v>
      </c>
      <c r="I118" s="5">
        <f>Données_Planning!D116</f>
        <v>0</v>
      </c>
      <c r="J118" s="22">
        <f>Données_Planning!F116</f>
        <v>0</v>
      </c>
      <c r="K118" s="22">
        <f>Données_Planning!E116</f>
        <v>0</v>
      </c>
      <c r="L118" s="35">
        <f>Données_Planning!G116</f>
        <v>0</v>
      </c>
      <c r="M118" s="37">
        <f>(IF(OR(A118="DWF",A118="DNF"),0,QUOTIENT(Données_Planning!J116,60)))</f>
        <v>0</v>
      </c>
      <c r="N118" s="7" t="str">
        <f t="shared" si="12"/>
        <v>min</v>
      </c>
      <c r="O118" s="36">
        <f>(IF(OR(A118="DWF",A118="DNF"),Données_Planning!J116,MOD(Données_Planning!J116,60)))</f>
        <v>0</v>
      </c>
      <c r="P118" s="28" t="str">
        <f t="shared" si="13"/>
        <v>s</v>
      </c>
      <c r="Q118" s="37">
        <f>(IF(OR(A118="DWF",A118="DNF"),0,QUOTIENT(Données_Planning!I116,60)))</f>
        <v>0</v>
      </c>
      <c r="R118" s="7" t="str">
        <f t="shared" si="14"/>
        <v>min</v>
      </c>
      <c r="S118" s="36">
        <f>(IF(OR(A118="DWF",A118="DNF"),Données_Planning!I116,MOD(Données_Planning!I116,60)))</f>
        <v>0</v>
      </c>
      <c r="T118" s="28" t="str">
        <f t="shared" si="15"/>
        <v>s</v>
      </c>
      <c r="U118" s="37">
        <f>(IF(OR(A118="DWF",A118="DNF"),0,QUOTIENT(Données_Planning!K116,60)))</f>
        <v>0</v>
      </c>
      <c r="V118" s="7" t="str">
        <f t="shared" si="16"/>
        <v>min</v>
      </c>
      <c r="W118" s="36">
        <f>(IF(OR(A118="DWF",A118="DNF"),Données_Planning!K116,MOD(Données_Planning!K116,60)))</f>
        <v>0</v>
      </c>
      <c r="X118" s="38" t="str">
        <f t="shared" si="17"/>
        <v>s</v>
      </c>
      <c r="Y118" s="42"/>
    </row>
    <row r="119" spans="1:25" ht="15.75" x14ac:dyDescent="0.25">
      <c r="A119" s="4">
        <f>Données_Planning!A117</f>
        <v>0</v>
      </c>
      <c r="B119" s="6">
        <f>Données_Planning!B117</f>
        <v>0</v>
      </c>
      <c r="C119" s="28">
        <f>Données_Planning!C117</f>
        <v>0</v>
      </c>
      <c r="D119" s="50">
        <f t="shared" si="9"/>
        <v>0</v>
      </c>
      <c r="E119" s="51">
        <f t="shared" si="10"/>
        <v>0</v>
      </c>
      <c r="F119" s="52">
        <f t="shared" si="11"/>
        <v>0</v>
      </c>
      <c r="G119" s="47">
        <f>Données_Planning!L117</f>
        <v>0</v>
      </c>
      <c r="H119" s="18">
        <f>Données_Planning!H117</f>
        <v>0</v>
      </c>
      <c r="I119" s="5">
        <f>Données_Planning!D117</f>
        <v>0</v>
      </c>
      <c r="J119" s="22">
        <f>Données_Planning!F117</f>
        <v>0</v>
      </c>
      <c r="K119" s="22">
        <f>Données_Planning!E117</f>
        <v>0</v>
      </c>
      <c r="L119" s="35">
        <f>Données_Planning!G117</f>
        <v>0</v>
      </c>
      <c r="M119" s="37">
        <f>(IF(OR(A119="DWF",A119="DNF"),0,QUOTIENT(Données_Planning!J117,60)))</f>
        <v>0</v>
      </c>
      <c r="N119" s="7" t="str">
        <f t="shared" si="12"/>
        <v>min</v>
      </c>
      <c r="O119" s="36">
        <f>(IF(OR(A119="DWF",A119="DNF"),Données_Planning!J117,MOD(Données_Planning!J117,60)))</f>
        <v>0</v>
      </c>
      <c r="P119" s="28" t="str">
        <f t="shared" si="13"/>
        <v>s</v>
      </c>
      <c r="Q119" s="37">
        <f>(IF(OR(A119="DWF",A119="DNF"),0,QUOTIENT(Données_Planning!I117,60)))</f>
        <v>0</v>
      </c>
      <c r="R119" s="7" t="str">
        <f t="shared" si="14"/>
        <v>min</v>
      </c>
      <c r="S119" s="36">
        <f>(IF(OR(A119="DWF",A119="DNF"),Données_Planning!I117,MOD(Données_Planning!I117,60)))</f>
        <v>0</v>
      </c>
      <c r="T119" s="28" t="str">
        <f t="shared" si="15"/>
        <v>s</v>
      </c>
      <c r="U119" s="37">
        <f>(IF(OR(A119="DWF",A119="DNF"),0,QUOTIENT(Données_Planning!K117,60)))</f>
        <v>0</v>
      </c>
      <c r="V119" s="7" t="str">
        <f t="shared" si="16"/>
        <v>min</v>
      </c>
      <c r="W119" s="36">
        <f>(IF(OR(A119="DWF",A119="DNF"),Données_Planning!K117,MOD(Données_Planning!K117,60)))</f>
        <v>0</v>
      </c>
      <c r="X119" s="38" t="str">
        <f t="shared" si="17"/>
        <v>s</v>
      </c>
      <c r="Y119" s="42"/>
    </row>
    <row r="120" spans="1:25" ht="15.75" x14ac:dyDescent="0.25">
      <c r="A120" s="4">
        <f>Données_Planning!A118</f>
        <v>0</v>
      </c>
      <c r="B120" s="6">
        <f>Données_Planning!B118</f>
        <v>0</v>
      </c>
      <c r="C120" s="28">
        <f>Données_Planning!C118</f>
        <v>0</v>
      </c>
      <c r="D120" s="50">
        <f t="shared" si="9"/>
        <v>0</v>
      </c>
      <c r="E120" s="51">
        <f t="shared" si="10"/>
        <v>0</v>
      </c>
      <c r="F120" s="52">
        <f t="shared" si="11"/>
        <v>0</v>
      </c>
      <c r="G120" s="47">
        <f>Données_Planning!L118</f>
        <v>0</v>
      </c>
      <c r="H120" s="18">
        <f>Données_Planning!H118</f>
        <v>0</v>
      </c>
      <c r="I120" s="5">
        <f>Données_Planning!D118</f>
        <v>0</v>
      </c>
      <c r="J120" s="22">
        <f>Données_Planning!F118</f>
        <v>0</v>
      </c>
      <c r="K120" s="22">
        <f>Données_Planning!E118</f>
        <v>0</v>
      </c>
      <c r="L120" s="35">
        <f>Données_Planning!G118</f>
        <v>0</v>
      </c>
      <c r="M120" s="37">
        <f>(IF(OR(A120="DWF",A120="DNF"),0,QUOTIENT(Données_Planning!J118,60)))</f>
        <v>0</v>
      </c>
      <c r="N120" s="7" t="str">
        <f t="shared" si="12"/>
        <v>min</v>
      </c>
      <c r="O120" s="36">
        <f>(IF(OR(A120="DWF",A120="DNF"),Données_Planning!J118,MOD(Données_Planning!J118,60)))</f>
        <v>0</v>
      </c>
      <c r="P120" s="28" t="str">
        <f t="shared" si="13"/>
        <v>s</v>
      </c>
      <c r="Q120" s="37">
        <f>(IF(OR(A120="DWF",A120="DNF"),0,QUOTIENT(Données_Planning!I118,60)))</f>
        <v>0</v>
      </c>
      <c r="R120" s="7" t="str">
        <f t="shared" si="14"/>
        <v>min</v>
      </c>
      <c r="S120" s="36">
        <f>(IF(OR(A120="DWF",A120="DNF"),Données_Planning!I118,MOD(Données_Planning!I118,60)))</f>
        <v>0</v>
      </c>
      <c r="T120" s="28" t="str">
        <f t="shared" si="15"/>
        <v>s</v>
      </c>
      <c r="U120" s="37">
        <f>(IF(OR(A120="DWF",A120="DNF"),0,QUOTIENT(Données_Planning!K118,60)))</f>
        <v>0</v>
      </c>
      <c r="V120" s="7" t="str">
        <f t="shared" si="16"/>
        <v>min</v>
      </c>
      <c r="W120" s="36">
        <f>(IF(OR(A120="DWF",A120="DNF"),Données_Planning!K118,MOD(Données_Planning!K118,60)))</f>
        <v>0</v>
      </c>
      <c r="X120" s="38" t="str">
        <f t="shared" si="17"/>
        <v>s</v>
      </c>
      <c r="Y120" s="42"/>
    </row>
    <row r="121" spans="1:25" ht="15.75" x14ac:dyDescent="0.25">
      <c r="A121" s="4">
        <f>Données_Planning!A119</f>
        <v>0</v>
      </c>
      <c r="B121" s="6">
        <f>Données_Planning!B119</f>
        <v>0</v>
      </c>
      <c r="C121" s="28">
        <f>Données_Planning!C119</f>
        <v>0</v>
      </c>
      <c r="D121" s="50">
        <f t="shared" si="9"/>
        <v>0</v>
      </c>
      <c r="E121" s="51">
        <f t="shared" si="10"/>
        <v>0</v>
      </c>
      <c r="F121" s="52">
        <f t="shared" si="11"/>
        <v>0</v>
      </c>
      <c r="G121" s="47">
        <f>Données_Planning!L119</f>
        <v>0</v>
      </c>
      <c r="H121" s="18">
        <f>Données_Planning!H119</f>
        <v>0</v>
      </c>
      <c r="I121" s="5">
        <f>Données_Planning!D119</f>
        <v>0</v>
      </c>
      <c r="J121" s="22">
        <f>Données_Planning!F119</f>
        <v>0</v>
      </c>
      <c r="K121" s="22">
        <f>Données_Planning!E119</f>
        <v>0</v>
      </c>
      <c r="L121" s="35">
        <f>Données_Planning!G119</f>
        <v>0</v>
      </c>
      <c r="M121" s="37">
        <f>(IF(OR(A121="DWF",A121="DNF"),0,QUOTIENT(Données_Planning!J119,60)))</f>
        <v>0</v>
      </c>
      <c r="N121" s="7" t="str">
        <f t="shared" si="12"/>
        <v>min</v>
      </c>
      <c r="O121" s="36">
        <f>(IF(OR(A121="DWF",A121="DNF"),Données_Planning!J119,MOD(Données_Planning!J119,60)))</f>
        <v>0</v>
      </c>
      <c r="P121" s="28" t="str">
        <f t="shared" si="13"/>
        <v>s</v>
      </c>
      <c r="Q121" s="37">
        <f>(IF(OR(A121="DWF",A121="DNF"),0,QUOTIENT(Données_Planning!I119,60)))</f>
        <v>0</v>
      </c>
      <c r="R121" s="7" t="str">
        <f t="shared" si="14"/>
        <v>min</v>
      </c>
      <c r="S121" s="36">
        <f>(IF(OR(A121="DWF",A121="DNF"),Données_Planning!I119,MOD(Données_Planning!I119,60)))</f>
        <v>0</v>
      </c>
      <c r="T121" s="28" t="str">
        <f t="shared" si="15"/>
        <v>s</v>
      </c>
      <c r="U121" s="37">
        <f>(IF(OR(A121="DWF",A121="DNF"),0,QUOTIENT(Données_Planning!K119,60)))</f>
        <v>0</v>
      </c>
      <c r="V121" s="7" t="str">
        <f t="shared" si="16"/>
        <v>min</v>
      </c>
      <c r="W121" s="36">
        <f>(IF(OR(A121="DWF",A121="DNF"),Données_Planning!K119,MOD(Données_Planning!K119,60)))</f>
        <v>0</v>
      </c>
      <c r="X121" s="38" t="str">
        <f t="shared" si="17"/>
        <v>s</v>
      </c>
      <c r="Y121" s="42"/>
    </row>
    <row r="122" spans="1:25" ht="15.75" x14ac:dyDescent="0.25">
      <c r="A122" s="4">
        <f>Données_Planning!A120</f>
        <v>0</v>
      </c>
      <c r="B122" s="6">
        <f>Données_Planning!B120</f>
        <v>0</v>
      </c>
      <c r="C122" s="28">
        <f>Données_Planning!C120</f>
        <v>0</v>
      </c>
      <c r="D122" s="50">
        <f t="shared" si="9"/>
        <v>0</v>
      </c>
      <c r="E122" s="51">
        <f t="shared" si="10"/>
        <v>0</v>
      </c>
      <c r="F122" s="52">
        <f t="shared" si="11"/>
        <v>0</v>
      </c>
      <c r="G122" s="47">
        <f>Données_Planning!L120</f>
        <v>0</v>
      </c>
      <c r="H122" s="18">
        <f>Données_Planning!H120</f>
        <v>0</v>
      </c>
      <c r="I122" s="5">
        <f>Données_Planning!D120</f>
        <v>0</v>
      </c>
      <c r="J122" s="22">
        <f>Données_Planning!F120</f>
        <v>0</v>
      </c>
      <c r="K122" s="22">
        <f>Données_Planning!E120</f>
        <v>0</v>
      </c>
      <c r="L122" s="35">
        <f>Données_Planning!G120</f>
        <v>0</v>
      </c>
      <c r="M122" s="37">
        <f>(IF(OR(A122="DWF",A122="DNF"),0,QUOTIENT(Données_Planning!J120,60)))</f>
        <v>0</v>
      </c>
      <c r="N122" s="7" t="str">
        <f t="shared" si="12"/>
        <v>min</v>
      </c>
      <c r="O122" s="36">
        <f>(IF(OR(A122="DWF",A122="DNF"),Données_Planning!J120,MOD(Données_Planning!J120,60)))</f>
        <v>0</v>
      </c>
      <c r="P122" s="28" t="str">
        <f t="shared" si="13"/>
        <v>s</v>
      </c>
      <c r="Q122" s="37">
        <f>(IF(OR(A122="DWF",A122="DNF"),0,QUOTIENT(Données_Planning!I120,60)))</f>
        <v>0</v>
      </c>
      <c r="R122" s="7" t="str">
        <f t="shared" si="14"/>
        <v>min</v>
      </c>
      <c r="S122" s="36">
        <f>(IF(OR(A122="DWF",A122="DNF"),Données_Planning!I120,MOD(Données_Planning!I120,60)))</f>
        <v>0</v>
      </c>
      <c r="T122" s="28" t="str">
        <f t="shared" si="15"/>
        <v>s</v>
      </c>
      <c r="U122" s="37">
        <f>(IF(OR(A122="DWF",A122="DNF"),0,QUOTIENT(Données_Planning!K120,60)))</f>
        <v>0</v>
      </c>
      <c r="V122" s="7" t="str">
        <f t="shared" si="16"/>
        <v>min</v>
      </c>
      <c r="W122" s="36">
        <f>(IF(OR(A122="DWF",A122="DNF"),Données_Planning!K120,MOD(Données_Planning!K120,60)))</f>
        <v>0</v>
      </c>
      <c r="X122" s="38" t="str">
        <f t="shared" si="17"/>
        <v>s</v>
      </c>
      <c r="Y122" s="42"/>
    </row>
    <row r="123" spans="1:25" ht="15.75" x14ac:dyDescent="0.25">
      <c r="A123" s="4">
        <f>Données_Planning!A121</f>
        <v>0</v>
      </c>
      <c r="B123" s="6">
        <f>Données_Planning!B121</f>
        <v>0</v>
      </c>
      <c r="C123" s="28">
        <f>Données_Planning!C121</f>
        <v>0</v>
      </c>
      <c r="D123" s="50">
        <f t="shared" si="9"/>
        <v>0</v>
      </c>
      <c r="E123" s="51">
        <f t="shared" si="10"/>
        <v>0</v>
      </c>
      <c r="F123" s="52">
        <f t="shared" si="11"/>
        <v>0</v>
      </c>
      <c r="G123" s="47">
        <f>Données_Planning!L121</f>
        <v>0</v>
      </c>
      <c r="H123" s="18">
        <f>Données_Planning!H121</f>
        <v>0</v>
      </c>
      <c r="I123" s="5">
        <f>Données_Planning!D121</f>
        <v>0</v>
      </c>
      <c r="J123" s="22">
        <f>Données_Planning!F121</f>
        <v>0</v>
      </c>
      <c r="K123" s="22">
        <f>Données_Planning!E121</f>
        <v>0</v>
      </c>
      <c r="L123" s="35">
        <f>Données_Planning!G121</f>
        <v>0</v>
      </c>
      <c r="M123" s="37">
        <f>(IF(OR(A123="DWF",A123="DNF"),0,QUOTIENT(Données_Planning!J121,60)))</f>
        <v>0</v>
      </c>
      <c r="N123" s="7" t="str">
        <f t="shared" si="12"/>
        <v>min</v>
      </c>
      <c r="O123" s="36">
        <f>(IF(OR(A123="DWF",A123="DNF"),Données_Planning!J121,MOD(Données_Planning!J121,60)))</f>
        <v>0</v>
      </c>
      <c r="P123" s="28" t="str">
        <f t="shared" si="13"/>
        <v>s</v>
      </c>
      <c r="Q123" s="37">
        <f>(IF(OR(A123="DWF",A123="DNF"),0,QUOTIENT(Données_Planning!I121,60)))</f>
        <v>0</v>
      </c>
      <c r="R123" s="7" t="str">
        <f t="shared" si="14"/>
        <v>min</v>
      </c>
      <c r="S123" s="36">
        <f>(IF(OR(A123="DWF",A123="DNF"),Données_Planning!I121,MOD(Données_Planning!I121,60)))</f>
        <v>0</v>
      </c>
      <c r="T123" s="28" t="str">
        <f t="shared" si="15"/>
        <v>s</v>
      </c>
      <c r="U123" s="37">
        <f>(IF(OR(A123="DWF",A123="DNF"),0,QUOTIENT(Données_Planning!K121,60)))</f>
        <v>0</v>
      </c>
      <c r="V123" s="7" t="str">
        <f t="shared" si="16"/>
        <v>min</v>
      </c>
      <c r="W123" s="36">
        <f>(IF(OR(A123="DWF",A123="DNF"),Données_Planning!K121,MOD(Données_Planning!K121,60)))</f>
        <v>0</v>
      </c>
      <c r="X123" s="38" t="str">
        <f t="shared" si="17"/>
        <v>s</v>
      </c>
      <c r="Y123" s="42"/>
    </row>
    <row r="124" spans="1:25" ht="15.75" x14ac:dyDescent="0.25">
      <c r="A124" s="4">
        <f>Données_Planning!A122</f>
        <v>0</v>
      </c>
      <c r="B124" s="6">
        <f>Données_Planning!B122</f>
        <v>0</v>
      </c>
      <c r="C124" s="28">
        <f>Données_Planning!C122</f>
        <v>0</v>
      </c>
      <c r="D124" s="50">
        <f t="shared" si="9"/>
        <v>0</v>
      </c>
      <c r="E124" s="51">
        <f t="shared" si="10"/>
        <v>0</v>
      </c>
      <c r="F124" s="52">
        <f t="shared" si="11"/>
        <v>0</v>
      </c>
      <c r="G124" s="47">
        <f>Données_Planning!L122</f>
        <v>0</v>
      </c>
      <c r="H124" s="18">
        <f>Données_Planning!H122</f>
        <v>0</v>
      </c>
      <c r="I124" s="5">
        <f>Données_Planning!D122</f>
        <v>0</v>
      </c>
      <c r="J124" s="22">
        <f>Données_Planning!F122</f>
        <v>0</v>
      </c>
      <c r="K124" s="22">
        <f>Données_Planning!E122</f>
        <v>0</v>
      </c>
      <c r="L124" s="35">
        <f>Données_Planning!G122</f>
        <v>0</v>
      </c>
      <c r="M124" s="37">
        <f>(IF(OR(A124="DWF",A124="DNF"),0,QUOTIENT(Données_Planning!J122,60)))</f>
        <v>0</v>
      </c>
      <c r="N124" s="7" t="str">
        <f t="shared" si="12"/>
        <v>min</v>
      </c>
      <c r="O124" s="36">
        <f>(IF(OR(A124="DWF",A124="DNF"),Données_Planning!J122,MOD(Données_Planning!J122,60)))</f>
        <v>0</v>
      </c>
      <c r="P124" s="28" t="str">
        <f t="shared" si="13"/>
        <v>s</v>
      </c>
      <c r="Q124" s="37">
        <f>(IF(OR(A124="DWF",A124="DNF"),0,QUOTIENT(Données_Planning!I122,60)))</f>
        <v>0</v>
      </c>
      <c r="R124" s="7" t="str">
        <f t="shared" si="14"/>
        <v>min</v>
      </c>
      <c r="S124" s="36">
        <f>(IF(OR(A124="DWF",A124="DNF"),Données_Planning!I122,MOD(Données_Planning!I122,60)))</f>
        <v>0</v>
      </c>
      <c r="T124" s="28" t="str">
        <f t="shared" si="15"/>
        <v>s</v>
      </c>
      <c r="U124" s="37">
        <f>(IF(OR(A124="DWF",A124="DNF"),0,QUOTIENT(Données_Planning!K122,60)))</f>
        <v>0</v>
      </c>
      <c r="V124" s="7" t="str">
        <f t="shared" si="16"/>
        <v>min</v>
      </c>
      <c r="W124" s="36">
        <f>(IF(OR(A124="DWF",A124="DNF"),Données_Planning!K122,MOD(Données_Planning!K122,60)))</f>
        <v>0</v>
      </c>
      <c r="X124" s="38" t="str">
        <f t="shared" si="17"/>
        <v>s</v>
      </c>
      <c r="Y124" s="42"/>
    </row>
    <row r="125" spans="1:25" ht="15.75" x14ac:dyDescent="0.25">
      <c r="A125" s="4">
        <f>Données_Planning!A123</f>
        <v>0</v>
      </c>
      <c r="B125" s="6">
        <f>Données_Planning!B123</f>
        <v>0</v>
      </c>
      <c r="C125" s="28">
        <f>Données_Planning!C123</f>
        <v>0</v>
      </c>
      <c r="D125" s="50">
        <f t="shared" si="9"/>
        <v>0</v>
      </c>
      <c r="E125" s="51">
        <f t="shared" si="10"/>
        <v>0</v>
      </c>
      <c r="F125" s="52">
        <f t="shared" si="11"/>
        <v>0</v>
      </c>
      <c r="G125" s="47">
        <f>Données_Planning!L123</f>
        <v>0</v>
      </c>
      <c r="H125" s="18">
        <f>Données_Planning!H123</f>
        <v>0</v>
      </c>
      <c r="I125" s="5">
        <f>Données_Planning!D123</f>
        <v>0</v>
      </c>
      <c r="J125" s="22">
        <f>Données_Planning!F123</f>
        <v>0</v>
      </c>
      <c r="K125" s="22">
        <f>Données_Planning!E123</f>
        <v>0</v>
      </c>
      <c r="L125" s="35">
        <f>Données_Planning!G123</f>
        <v>0</v>
      </c>
      <c r="M125" s="37">
        <f>(IF(OR(A125="DWF",A125="DNF"),0,QUOTIENT(Données_Planning!J123,60)))</f>
        <v>0</v>
      </c>
      <c r="N125" s="7" t="str">
        <f t="shared" si="12"/>
        <v>min</v>
      </c>
      <c r="O125" s="36">
        <f>(IF(OR(A125="DWF",A125="DNF"),Données_Planning!J123,MOD(Données_Planning!J123,60)))</f>
        <v>0</v>
      </c>
      <c r="P125" s="28" t="str">
        <f t="shared" si="13"/>
        <v>s</v>
      </c>
      <c r="Q125" s="37">
        <f>(IF(OR(A125="DWF",A125="DNF"),0,QUOTIENT(Données_Planning!I123,60)))</f>
        <v>0</v>
      </c>
      <c r="R125" s="7" t="str">
        <f t="shared" si="14"/>
        <v>min</v>
      </c>
      <c r="S125" s="36">
        <f>(IF(OR(A125="DWF",A125="DNF"),Données_Planning!I123,MOD(Données_Planning!I123,60)))</f>
        <v>0</v>
      </c>
      <c r="T125" s="28" t="str">
        <f t="shared" si="15"/>
        <v>s</v>
      </c>
      <c r="U125" s="37">
        <f>(IF(OR(A125="DWF",A125="DNF"),0,QUOTIENT(Données_Planning!K123,60)))</f>
        <v>0</v>
      </c>
      <c r="V125" s="7" t="str">
        <f t="shared" si="16"/>
        <v>min</v>
      </c>
      <c r="W125" s="36">
        <f>(IF(OR(A125="DWF",A125="DNF"),Données_Planning!K123,MOD(Données_Planning!K123,60)))</f>
        <v>0</v>
      </c>
      <c r="X125" s="38" t="str">
        <f t="shared" si="17"/>
        <v>s</v>
      </c>
      <c r="Y125" s="42"/>
    </row>
    <row r="126" spans="1:25" ht="15.75" x14ac:dyDescent="0.25">
      <c r="A126" s="4">
        <f>Données_Planning!A124</f>
        <v>0</v>
      </c>
      <c r="B126" s="6">
        <f>Données_Planning!B124</f>
        <v>0</v>
      </c>
      <c r="C126" s="28">
        <f>Données_Planning!C124</f>
        <v>0</v>
      </c>
      <c r="D126" s="50">
        <f t="shared" si="9"/>
        <v>0</v>
      </c>
      <c r="E126" s="51">
        <f t="shared" si="10"/>
        <v>0</v>
      </c>
      <c r="F126" s="52">
        <f t="shared" si="11"/>
        <v>0</v>
      </c>
      <c r="G126" s="47">
        <f>Données_Planning!L124</f>
        <v>0</v>
      </c>
      <c r="H126" s="18">
        <f>Données_Planning!H124</f>
        <v>0</v>
      </c>
      <c r="I126" s="5">
        <f>Données_Planning!D124</f>
        <v>0</v>
      </c>
      <c r="J126" s="22">
        <f>Données_Planning!F124</f>
        <v>0</v>
      </c>
      <c r="K126" s="22">
        <f>Données_Planning!E124</f>
        <v>0</v>
      </c>
      <c r="L126" s="35">
        <f>Données_Planning!G124</f>
        <v>0</v>
      </c>
      <c r="M126" s="37">
        <f>(IF(OR(A126="DWF",A126="DNF"),0,QUOTIENT(Données_Planning!J124,60)))</f>
        <v>0</v>
      </c>
      <c r="N126" s="7" t="str">
        <f t="shared" si="12"/>
        <v>min</v>
      </c>
      <c r="O126" s="36">
        <f>(IF(OR(A126="DWF",A126="DNF"),Données_Planning!J124,MOD(Données_Planning!J124,60)))</f>
        <v>0</v>
      </c>
      <c r="P126" s="28" t="str">
        <f t="shared" si="13"/>
        <v>s</v>
      </c>
      <c r="Q126" s="37">
        <f>(IF(OR(A126="DWF",A126="DNF"),0,QUOTIENT(Données_Planning!I124,60)))</f>
        <v>0</v>
      </c>
      <c r="R126" s="7" t="str">
        <f t="shared" si="14"/>
        <v>min</v>
      </c>
      <c r="S126" s="36">
        <f>(IF(OR(A126="DWF",A126="DNF"),Données_Planning!I124,MOD(Données_Planning!I124,60)))</f>
        <v>0</v>
      </c>
      <c r="T126" s="28" t="str">
        <f t="shared" si="15"/>
        <v>s</v>
      </c>
      <c r="U126" s="37">
        <f>(IF(OR(A126="DWF",A126="DNF"),0,QUOTIENT(Données_Planning!K124,60)))</f>
        <v>0</v>
      </c>
      <c r="V126" s="7" t="str">
        <f t="shared" si="16"/>
        <v>min</v>
      </c>
      <c r="W126" s="36">
        <f>(IF(OR(A126="DWF",A126="DNF"),Données_Planning!K124,MOD(Données_Planning!K124,60)))</f>
        <v>0</v>
      </c>
      <c r="X126" s="38" t="str">
        <f t="shared" si="17"/>
        <v>s</v>
      </c>
      <c r="Y126" s="42"/>
    </row>
    <row r="127" spans="1:25" ht="15.75" x14ac:dyDescent="0.25">
      <c r="A127" s="4">
        <f>Données_Planning!A125</f>
        <v>0</v>
      </c>
      <c r="B127" s="6">
        <f>Données_Planning!B125</f>
        <v>0</v>
      </c>
      <c r="C127" s="28">
        <f>Données_Planning!C125</f>
        <v>0</v>
      </c>
      <c r="D127" s="50">
        <f t="shared" si="9"/>
        <v>0</v>
      </c>
      <c r="E127" s="51">
        <f t="shared" si="10"/>
        <v>0</v>
      </c>
      <c r="F127" s="52">
        <f t="shared" si="11"/>
        <v>0</v>
      </c>
      <c r="G127" s="47">
        <f>Données_Planning!L125</f>
        <v>0</v>
      </c>
      <c r="H127" s="18">
        <f>Données_Planning!H125</f>
        <v>0</v>
      </c>
      <c r="I127" s="5">
        <f>Données_Planning!D125</f>
        <v>0</v>
      </c>
      <c r="J127" s="22">
        <f>Données_Planning!F125</f>
        <v>0</v>
      </c>
      <c r="K127" s="22">
        <f>Données_Planning!E125</f>
        <v>0</v>
      </c>
      <c r="L127" s="35">
        <f>Données_Planning!G125</f>
        <v>0</v>
      </c>
      <c r="M127" s="37">
        <f>(IF(OR(A127="DWF",A127="DNF"),0,QUOTIENT(Données_Planning!J125,60)))</f>
        <v>0</v>
      </c>
      <c r="N127" s="7" t="str">
        <f t="shared" si="12"/>
        <v>min</v>
      </c>
      <c r="O127" s="36">
        <f>(IF(OR(A127="DWF",A127="DNF"),Données_Planning!J125,MOD(Données_Planning!J125,60)))</f>
        <v>0</v>
      </c>
      <c r="P127" s="28" t="str">
        <f t="shared" si="13"/>
        <v>s</v>
      </c>
      <c r="Q127" s="37">
        <f>(IF(OR(A127="DWF",A127="DNF"),0,QUOTIENT(Données_Planning!I125,60)))</f>
        <v>0</v>
      </c>
      <c r="R127" s="7" t="str">
        <f t="shared" si="14"/>
        <v>min</v>
      </c>
      <c r="S127" s="36">
        <f>(IF(OR(A127="DWF",A127="DNF"),Données_Planning!I125,MOD(Données_Planning!I125,60)))</f>
        <v>0</v>
      </c>
      <c r="T127" s="28" t="str">
        <f t="shared" si="15"/>
        <v>s</v>
      </c>
      <c r="U127" s="37">
        <f>(IF(OR(A127="DWF",A127="DNF"),0,QUOTIENT(Données_Planning!K125,60)))</f>
        <v>0</v>
      </c>
      <c r="V127" s="7" t="str">
        <f t="shared" si="16"/>
        <v>min</v>
      </c>
      <c r="W127" s="36">
        <f>(IF(OR(A127="DWF",A127="DNF"),Données_Planning!K125,MOD(Données_Planning!K125,60)))</f>
        <v>0</v>
      </c>
      <c r="X127" s="38" t="str">
        <f t="shared" si="17"/>
        <v>s</v>
      </c>
      <c r="Y127" s="42"/>
    </row>
    <row r="128" spans="1:25" ht="15.75" x14ac:dyDescent="0.25">
      <c r="A128" s="4">
        <f>Données_Planning!A126</f>
        <v>0</v>
      </c>
      <c r="B128" s="6">
        <f>Données_Planning!B126</f>
        <v>0</v>
      </c>
      <c r="C128" s="28">
        <f>Données_Planning!C126</f>
        <v>0</v>
      </c>
      <c r="D128" s="50">
        <f t="shared" si="9"/>
        <v>0</v>
      </c>
      <c r="E128" s="51">
        <f t="shared" si="10"/>
        <v>0</v>
      </c>
      <c r="F128" s="52">
        <f t="shared" si="11"/>
        <v>0</v>
      </c>
      <c r="G128" s="47">
        <f>Données_Planning!L126</f>
        <v>0</v>
      </c>
      <c r="H128" s="18">
        <f>Données_Planning!H126</f>
        <v>0</v>
      </c>
      <c r="I128" s="5">
        <f>Données_Planning!D126</f>
        <v>0</v>
      </c>
      <c r="J128" s="22">
        <f>Données_Planning!F126</f>
        <v>0</v>
      </c>
      <c r="K128" s="22">
        <f>Données_Planning!E126</f>
        <v>0</v>
      </c>
      <c r="L128" s="35">
        <f>Données_Planning!G126</f>
        <v>0</v>
      </c>
      <c r="M128" s="37">
        <f>(IF(OR(A128="DWF",A128="DNF"),0,QUOTIENT(Données_Planning!J126,60)))</f>
        <v>0</v>
      </c>
      <c r="N128" s="7" t="str">
        <f t="shared" si="12"/>
        <v>min</v>
      </c>
      <c r="O128" s="36">
        <f>(IF(OR(A128="DWF",A128="DNF"),Données_Planning!J126,MOD(Données_Planning!J126,60)))</f>
        <v>0</v>
      </c>
      <c r="P128" s="28" t="str">
        <f t="shared" si="13"/>
        <v>s</v>
      </c>
      <c r="Q128" s="37">
        <f>(IF(OR(A128="DWF",A128="DNF"),0,QUOTIENT(Données_Planning!I126,60)))</f>
        <v>0</v>
      </c>
      <c r="R128" s="7" t="str">
        <f t="shared" si="14"/>
        <v>min</v>
      </c>
      <c r="S128" s="36">
        <f>(IF(OR(A128="DWF",A128="DNF"),Données_Planning!I126,MOD(Données_Planning!I126,60)))</f>
        <v>0</v>
      </c>
      <c r="T128" s="28" t="str">
        <f t="shared" si="15"/>
        <v>s</v>
      </c>
      <c r="U128" s="37">
        <f>(IF(OR(A128="DWF",A128="DNF"),0,QUOTIENT(Données_Planning!K126,60)))</f>
        <v>0</v>
      </c>
      <c r="V128" s="7" t="str">
        <f t="shared" si="16"/>
        <v>min</v>
      </c>
      <c r="W128" s="36">
        <f>(IF(OR(A128="DWF",A128="DNF"),Données_Planning!K126,MOD(Données_Planning!K126,60)))</f>
        <v>0</v>
      </c>
      <c r="X128" s="38" t="str">
        <f t="shared" si="17"/>
        <v>s</v>
      </c>
      <c r="Y128" s="42"/>
    </row>
    <row r="129" spans="1:25" ht="15.75" x14ac:dyDescent="0.25">
      <c r="A129" s="4">
        <f>Données_Planning!A127</f>
        <v>0</v>
      </c>
      <c r="B129" s="6">
        <f>Données_Planning!B127</f>
        <v>0</v>
      </c>
      <c r="C129" s="28">
        <f>Données_Planning!C127</f>
        <v>0</v>
      </c>
      <c r="D129" s="50">
        <f t="shared" si="9"/>
        <v>0</v>
      </c>
      <c r="E129" s="51">
        <f t="shared" si="10"/>
        <v>0</v>
      </c>
      <c r="F129" s="52">
        <f t="shared" si="11"/>
        <v>0</v>
      </c>
      <c r="G129" s="47">
        <f>Données_Planning!L127</f>
        <v>0</v>
      </c>
      <c r="H129" s="18">
        <f>Données_Planning!H127</f>
        <v>0</v>
      </c>
      <c r="I129" s="5">
        <f>Données_Planning!D127</f>
        <v>0</v>
      </c>
      <c r="J129" s="22">
        <f>Données_Planning!F127</f>
        <v>0</v>
      </c>
      <c r="K129" s="22">
        <f>Données_Planning!E127</f>
        <v>0</v>
      </c>
      <c r="L129" s="35">
        <f>Données_Planning!G127</f>
        <v>0</v>
      </c>
      <c r="M129" s="37">
        <f>(IF(OR(A129="DWF",A129="DNF"),0,QUOTIENT(Données_Planning!J127,60)))</f>
        <v>0</v>
      </c>
      <c r="N129" s="7" t="str">
        <f t="shared" si="12"/>
        <v>min</v>
      </c>
      <c r="O129" s="36">
        <f>(IF(OR(A129="DWF",A129="DNF"),Données_Planning!J127,MOD(Données_Planning!J127,60)))</f>
        <v>0</v>
      </c>
      <c r="P129" s="28" t="str">
        <f t="shared" si="13"/>
        <v>s</v>
      </c>
      <c r="Q129" s="37">
        <f>(IF(OR(A129="DWF",A129="DNF"),0,QUOTIENT(Données_Planning!I127,60)))</f>
        <v>0</v>
      </c>
      <c r="R129" s="7" t="str">
        <f t="shared" si="14"/>
        <v>min</v>
      </c>
      <c r="S129" s="36">
        <f>(IF(OR(A129="DWF",A129="DNF"),Données_Planning!I127,MOD(Données_Planning!I127,60)))</f>
        <v>0</v>
      </c>
      <c r="T129" s="28" t="str">
        <f t="shared" si="15"/>
        <v>s</v>
      </c>
      <c r="U129" s="37">
        <f>(IF(OR(A129="DWF",A129="DNF"),0,QUOTIENT(Données_Planning!K127,60)))</f>
        <v>0</v>
      </c>
      <c r="V129" s="7" t="str">
        <f t="shared" si="16"/>
        <v>min</v>
      </c>
      <c r="W129" s="36">
        <f>(IF(OR(A129="DWF",A129="DNF"),Données_Planning!K127,MOD(Données_Planning!K127,60)))</f>
        <v>0</v>
      </c>
      <c r="X129" s="38" t="str">
        <f t="shared" si="17"/>
        <v>s</v>
      </c>
      <c r="Y129" s="42"/>
    </row>
    <row r="130" spans="1:25" ht="15.75" x14ac:dyDescent="0.25">
      <c r="A130" s="4">
        <f>Données_Planning!A128</f>
        <v>0</v>
      </c>
      <c r="B130" s="6">
        <f>Données_Planning!B128</f>
        <v>0</v>
      </c>
      <c r="C130" s="28">
        <f>Données_Planning!C128</f>
        <v>0</v>
      </c>
      <c r="D130" s="50">
        <f t="shared" si="9"/>
        <v>0</v>
      </c>
      <c r="E130" s="51">
        <f t="shared" si="10"/>
        <v>0</v>
      </c>
      <c r="F130" s="52">
        <f t="shared" si="11"/>
        <v>0</v>
      </c>
      <c r="G130" s="47">
        <f>Données_Planning!L128</f>
        <v>0</v>
      </c>
      <c r="H130" s="18">
        <f>Données_Planning!H128</f>
        <v>0</v>
      </c>
      <c r="I130" s="5">
        <f>Données_Planning!D128</f>
        <v>0</v>
      </c>
      <c r="J130" s="22">
        <f>Données_Planning!F128</f>
        <v>0</v>
      </c>
      <c r="K130" s="22">
        <f>Données_Planning!E128</f>
        <v>0</v>
      </c>
      <c r="L130" s="35">
        <f>Données_Planning!G128</f>
        <v>0</v>
      </c>
      <c r="M130" s="37">
        <f>(IF(OR(A130="DWF",A130="DNF"),0,QUOTIENT(Données_Planning!J128,60)))</f>
        <v>0</v>
      </c>
      <c r="N130" s="7" t="str">
        <f t="shared" si="12"/>
        <v>min</v>
      </c>
      <c r="O130" s="36">
        <f>(IF(OR(A130="DWF",A130="DNF"),Données_Planning!J128,MOD(Données_Planning!J128,60)))</f>
        <v>0</v>
      </c>
      <c r="P130" s="28" t="str">
        <f t="shared" si="13"/>
        <v>s</v>
      </c>
      <c r="Q130" s="37">
        <f>(IF(OR(A130="DWF",A130="DNF"),0,QUOTIENT(Données_Planning!I128,60)))</f>
        <v>0</v>
      </c>
      <c r="R130" s="7" t="str">
        <f t="shared" si="14"/>
        <v>min</v>
      </c>
      <c r="S130" s="36">
        <f>(IF(OR(A130="DWF",A130="DNF"),Données_Planning!I128,MOD(Données_Planning!I128,60)))</f>
        <v>0</v>
      </c>
      <c r="T130" s="28" t="str">
        <f t="shared" si="15"/>
        <v>s</v>
      </c>
      <c r="U130" s="37">
        <f>(IF(OR(A130="DWF",A130="DNF"),0,QUOTIENT(Données_Planning!K128,60)))</f>
        <v>0</v>
      </c>
      <c r="V130" s="7" t="str">
        <f t="shared" si="16"/>
        <v>min</v>
      </c>
      <c r="W130" s="36">
        <f>(IF(OR(A130="DWF",A130="DNF"),Données_Planning!K128,MOD(Données_Planning!K128,60)))</f>
        <v>0</v>
      </c>
      <c r="X130" s="38" t="str">
        <f t="shared" si="17"/>
        <v>s</v>
      </c>
      <c r="Y130" s="42"/>
    </row>
    <row r="131" spans="1:25" ht="15.75" x14ac:dyDescent="0.25">
      <c r="A131" s="4">
        <f>Données_Planning!A129</f>
        <v>0</v>
      </c>
      <c r="B131" s="6">
        <f>Données_Planning!B129</f>
        <v>0</v>
      </c>
      <c r="C131" s="28">
        <f>Données_Planning!C129</f>
        <v>0</v>
      </c>
      <c r="D131" s="50">
        <f t="shared" si="9"/>
        <v>0</v>
      </c>
      <c r="E131" s="51">
        <f t="shared" si="10"/>
        <v>0</v>
      </c>
      <c r="F131" s="52">
        <f t="shared" si="11"/>
        <v>0</v>
      </c>
      <c r="G131" s="47">
        <f>Données_Planning!L129</f>
        <v>0</v>
      </c>
      <c r="H131" s="18">
        <f>Données_Planning!H129</f>
        <v>0</v>
      </c>
      <c r="I131" s="5">
        <f>Données_Planning!D129</f>
        <v>0</v>
      </c>
      <c r="J131" s="22">
        <f>Données_Planning!F129</f>
        <v>0</v>
      </c>
      <c r="K131" s="22">
        <f>Données_Planning!E129</f>
        <v>0</v>
      </c>
      <c r="L131" s="35">
        <f>Données_Planning!G129</f>
        <v>0</v>
      </c>
      <c r="M131" s="37">
        <f>(IF(OR(A131="DWF",A131="DNF"),0,QUOTIENT(Données_Planning!J129,60)))</f>
        <v>0</v>
      </c>
      <c r="N131" s="7" t="str">
        <f t="shared" si="12"/>
        <v>min</v>
      </c>
      <c r="O131" s="36">
        <f>(IF(OR(A131="DWF",A131="DNF"),Données_Planning!J129,MOD(Données_Planning!J129,60)))</f>
        <v>0</v>
      </c>
      <c r="P131" s="28" t="str">
        <f t="shared" si="13"/>
        <v>s</v>
      </c>
      <c r="Q131" s="37">
        <f>(IF(OR(A131="DWF",A131="DNF"),0,QUOTIENT(Données_Planning!I129,60)))</f>
        <v>0</v>
      </c>
      <c r="R131" s="7" t="str">
        <f t="shared" si="14"/>
        <v>min</v>
      </c>
      <c r="S131" s="36">
        <f>(IF(OR(A131="DWF",A131="DNF"),Données_Planning!I129,MOD(Données_Planning!I129,60)))</f>
        <v>0</v>
      </c>
      <c r="T131" s="28" t="str">
        <f t="shared" si="15"/>
        <v>s</v>
      </c>
      <c r="U131" s="37">
        <f>(IF(OR(A131="DWF",A131="DNF"),0,QUOTIENT(Données_Planning!K129,60)))</f>
        <v>0</v>
      </c>
      <c r="V131" s="7" t="str">
        <f t="shared" si="16"/>
        <v>min</v>
      </c>
      <c r="W131" s="36">
        <f>(IF(OR(A131="DWF",A131="DNF"),Données_Planning!K129,MOD(Données_Planning!K129,60)))</f>
        <v>0</v>
      </c>
      <c r="X131" s="38" t="str">
        <f t="shared" si="17"/>
        <v>s</v>
      </c>
      <c r="Y131" s="42"/>
    </row>
    <row r="132" spans="1:25" ht="15.75" x14ac:dyDescent="0.25">
      <c r="A132" s="4">
        <f>Données_Planning!A130</f>
        <v>0</v>
      </c>
      <c r="B132" s="6">
        <f>Données_Planning!B130</f>
        <v>0</v>
      </c>
      <c r="C132" s="28">
        <f>Données_Planning!C130</f>
        <v>0</v>
      </c>
      <c r="D132" s="50">
        <f t="shared" si="9"/>
        <v>0</v>
      </c>
      <c r="E132" s="51">
        <f t="shared" si="10"/>
        <v>0</v>
      </c>
      <c r="F132" s="52">
        <f t="shared" si="11"/>
        <v>0</v>
      </c>
      <c r="G132" s="47">
        <f>Données_Planning!L130</f>
        <v>0</v>
      </c>
      <c r="H132" s="18">
        <f>Données_Planning!H130</f>
        <v>0</v>
      </c>
      <c r="I132" s="5">
        <f>Données_Planning!D130</f>
        <v>0</v>
      </c>
      <c r="J132" s="22">
        <f>Données_Planning!F130</f>
        <v>0</v>
      </c>
      <c r="K132" s="22">
        <f>Données_Planning!E130</f>
        <v>0</v>
      </c>
      <c r="L132" s="35">
        <f>Données_Planning!G130</f>
        <v>0</v>
      </c>
      <c r="M132" s="37">
        <f>(IF(OR(A132="DWF",A132="DNF"),0,QUOTIENT(Données_Planning!J130,60)))</f>
        <v>0</v>
      </c>
      <c r="N132" s="7" t="str">
        <f t="shared" si="12"/>
        <v>min</v>
      </c>
      <c r="O132" s="36">
        <f>(IF(OR(A132="DWF",A132="DNF"),Données_Planning!J130,MOD(Données_Planning!J130,60)))</f>
        <v>0</v>
      </c>
      <c r="P132" s="28" t="str">
        <f t="shared" si="13"/>
        <v>s</v>
      </c>
      <c r="Q132" s="37">
        <f>(IF(OR(A132="DWF",A132="DNF"),0,QUOTIENT(Données_Planning!I130,60)))</f>
        <v>0</v>
      </c>
      <c r="R132" s="7" t="str">
        <f t="shared" si="14"/>
        <v>min</v>
      </c>
      <c r="S132" s="36">
        <f>(IF(OR(A132="DWF",A132="DNF"),Données_Planning!I130,MOD(Données_Planning!I130,60)))</f>
        <v>0</v>
      </c>
      <c r="T132" s="28" t="str">
        <f t="shared" si="15"/>
        <v>s</v>
      </c>
      <c r="U132" s="37">
        <f>(IF(OR(A132="DWF",A132="DNF"),0,QUOTIENT(Données_Planning!K130,60)))</f>
        <v>0</v>
      </c>
      <c r="V132" s="7" t="str">
        <f t="shared" si="16"/>
        <v>min</v>
      </c>
      <c r="W132" s="36">
        <f>(IF(OR(A132="DWF",A132="DNF"),Données_Planning!K130,MOD(Données_Planning!K130,60)))</f>
        <v>0</v>
      </c>
      <c r="X132" s="38" t="str">
        <f t="shared" si="17"/>
        <v>s</v>
      </c>
      <c r="Y132" s="42"/>
    </row>
    <row r="133" spans="1:25" ht="15.75" x14ac:dyDescent="0.25">
      <c r="A133" s="4">
        <f>Données_Planning!A131</f>
        <v>0</v>
      </c>
      <c r="B133" s="6">
        <f>Données_Planning!B131</f>
        <v>0</v>
      </c>
      <c r="C133" s="28">
        <f>Données_Planning!C131</f>
        <v>0</v>
      </c>
      <c r="D133" s="50">
        <f t="shared" ref="D133:D196" si="18">IF(G133 -TIME(0,$D$3,0)&gt;0, G133 -TIME(0,$D$3,0), 0)</f>
        <v>0</v>
      </c>
      <c r="E133" s="51">
        <f t="shared" ref="E133:E196" si="19">IF(G133 -TIME(0,$E$3,0)&gt;0, G133 -TIME(0,$E$3,0), 0)</f>
        <v>0</v>
      </c>
      <c r="F133" s="52">
        <f t="shared" ref="F133:F196" si="20">IF(G133 -TIME(0,$F$3,0)&gt;0, G133 -TIME(0,$F$3,0), 0)</f>
        <v>0</v>
      </c>
      <c r="G133" s="47">
        <f>Données_Planning!L131</f>
        <v>0</v>
      </c>
      <c r="H133" s="18">
        <f>Données_Planning!H131</f>
        <v>0</v>
      </c>
      <c r="I133" s="5">
        <f>Données_Planning!D131</f>
        <v>0</v>
      </c>
      <c r="J133" s="22">
        <f>Données_Planning!F131</f>
        <v>0</v>
      </c>
      <c r="K133" s="22">
        <f>Données_Planning!E131</f>
        <v>0</v>
      </c>
      <c r="L133" s="35">
        <f>Données_Planning!G131</f>
        <v>0</v>
      </c>
      <c r="M133" s="37">
        <f>(IF(OR(A133="DWF",A133="DNF"),0,QUOTIENT(Données_Planning!J131,60)))</f>
        <v>0</v>
      </c>
      <c r="N133" s="7" t="str">
        <f t="shared" ref="N133:N196" si="21">(IF(OR(A133="DWF",A133="DNF"),0,"min"))</f>
        <v>min</v>
      </c>
      <c r="O133" s="36">
        <f>(IF(OR(A133="DWF",A133="DNF"),Données_Planning!J131,MOD(Données_Planning!J131,60)))</f>
        <v>0</v>
      </c>
      <c r="P133" s="28" t="str">
        <f t="shared" ref="P133:P196" si="22">(IF(OR(A133="DWF",A133="DNF"),"m","s"))</f>
        <v>s</v>
      </c>
      <c r="Q133" s="37">
        <f>(IF(OR(A133="DWF",A133="DNF"),0,QUOTIENT(Données_Planning!I131,60)))</f>
        <v>0</v>
      </c>
      <c r="R133" s="7" t="str">
        <f t="shared" ref="R133:R196" si="23">(IF(OR(A133="DWF",A133="DNF"),0,"min"))</f>
        <v>min</v>
      </c>
      <c r="S133" s="36">
        <f>(IF(OR(A133="DWF",A133="DNF"),Données_Planning!I131,MOD(Données_Planning!I131,60)))</f>
        <v>0</v>
      </c>
      <c r="T133" s="28" t="str">
        <f t="shared" ref="T133:T196" si="24">(IF(OR(A133="DWF",A133="DNF"),"m","s"))</f>
        <v>s</v>
      </c>
      <c r="U133" s="37">
        <f>(IF(OR(A133="DWF",A133="DNF"),0,QUOTIENT(Données_Planning!K131,60)))</f>
        <v>0</v>
      </c>
      <c r="V133" s="7" t="str">
        <f t="shared" ref="V133:V196" si="25">(IF(OR(A133="DWF",A133="DNF"),0,"min"))</f>
        <v>min</v>
      </c>
      <c r="W133" s="36">
        <f>(IF(OR(A133="DWF",A133="DNF"),Données_Planning!K131,MOD(Données_Planning!K131,60)))</f>
        <v>0</v>
      </c>
      <c r="X133" s="38" t="str">
        <f t="shared" ref="X133:X196" si="26">(IF(OR(A133="DWF",A133="DNF"),"m","s"))</f>
        <v>s</v>
      </c>
      <c r="Y133" s="42"/>
    </row>
    <row r="134" spans="1:25" ht="15.75" x14ac:dyDescent="0.25">
      <c r="A134" s="4">
        <f>Données_Planning!A132</f>
        <v>0</v>
      </c>
      <c r="B134" s="6">
        <f>Données_Planning!B132</f>
        <v>0</v>
      </c>
      <c r="C134" s="28">
        <f>Données_Planning!C132</f>
        <v>0</v>
      </c>
      <c r="D134" s="50">
        <f t="shared" si="18"/>
        <v>0</v>
      </c>
      <c r="E134" s="51">
        <f t="shared" si="19"/>
        <v>0</v>
      </c>
      <c r="F134" s="52">
        <f t="shared" si="20"/>
        <v>0</v>
      </c>
      <c r="G134" s="47">
        <f>Données_Planning!L132</f>
        <v>0</v>
      </c>
      <c r="H134" s="18">
        <f>Données_Planning!H132</f>
        <v>0</v>
      </c>
      <c r="I134" s="5">
        <f>Données_Planning!D132</f>
        <v>0</v>
      </c>
      <c r="J134" s="22">
        <f>Données_Planning!F132</f>
        <v>0</v>
      </c>
      <c r="K134" s="22">
        <f>Données_Planning!E132</f>
        <v>0</v>
      </c>
      <c r="L134" s="35">
        <f>Données_Planning!G132</f>
        <v>0</v>
      </c>
      <c r="M134" s="37">
        <f>(IF(OR(A134="DWF",A134="DNF"),0,QUOTIENT(Données_Planning!J132,60)))</f>
        <v>0</v>
      </c>
      <c r="N134" s="7" t="str">
        <f t="shared" si="21"/>
        <v>min</v>
      </c>
      <c r="O134" s="36">
        <f>(IF(OR(A134="DWF",A134="DNF"),Données_Planning!J132,MOD(Données_Planning!J132,60)))</f>
        <v>0</v>
      </c>
      <c r="P134" s="28" t="str">
        <f t="shared" si="22"/>
        <v>s</v>
      </c>
      <c r="Q134" s="37">
        <f>(IF(OR(A134="DWF",A134="DNF"),0,QUOTIENT(Données_Planning!I132,60)))</f>
        <v>0</v>
      </c>
      <c r="R134" s="7" t="str">
        <f t="shared" si="23"/>
        <v>min</v>
      </c>
      <c r="S134" s="36">
        <f>(IF(OR(A134="DWF",A134="DNF"),Données_Planning!I132,MOD(Données_Planning!I132,60)))</f>
        <v>0</v>
      </c>
      <c r="T134" s="28" t="str">
        <f t="shared" si="24"/>
        <v>s</v>
      </c>
      <c r="U134" s="37">
        <f>(IF(OR(A134="DWF",A134="DNF"),0,QUOTIENT(Données_Planning!K132,60)))</f>
        <v>0</v>
      </c>
      <c r="V134" s="7" t="str">
        <f t="shared" si="25"/>
        <v>min</v>
      </c>
      <c r="W134" s="36">
        <f>(IF(OR(A134="DWF",A134="DNF"),Données_Planning!K132,MOD(Données_Planning!K132,60)))</f>
        <v>0</v>
      </c>
      <c r="X134" s="38" t="str">
        <f t="shared" si="26"/>
        <v>s</v>
      </c>
      <c r="Y134" s="42"/>
    </row>
    <row r="135" spans="1:25" ht="15.75" x14ac:dyDescent="0.25">
      <c r="A135" s="4">
        <f>Données_Planning!A133</f>
        <v>0</v>
      </c>
      <c r="B135" s="6">
        <f>Données_Planning!B133</f>
        <v>0</v>
      </c>
      <c r="C135" s="28">
        <f>Données_Planning!C133</f>
        <v>0</v>
      </c>
      <c r="D135" s="50">
        <f t="shared" si="18"/>
        <v>0</v>
      </c>
      <c r="E135" s="51">
        <f t="shared" si="19"/>
        <v>0</v>
      </c>
      <c r="F135" s="52">
        <f t="shared" si="20"/>
        <v>0</v>
      </c>
      <c r="G135" s="47">
        <f>Données_Planning!L133</f>
        <v>0</v>
      </c>
      <c r="H135" s="18">
        <f>Données_Planning!H133</f>
        <v>0</v>
      </c>
      <c r="I135" s="5">
        <f>Données_Planning!D133</f>
        <v>0</v>
      </c>
      <c r="J135" s="22">
        <f>Données_Planning!F133</f>
        <v>0</v>
      </c>
      <c r="K135" s="22">
        <f>Données_Planning!E133</f>
        <v>0</v>
      </c>
      <c r="L135" s="35">
        <f>Données_Planning!G133</f>
        <v>0</v>
      </c>
      <c r="M135" s="37">
        <f>(IF(OR(A135="DWF",A135="DNF"),0,QUOTIENT(Données_Planning!J133,60)))</f>
        <v>0</v>
      </c>
      <c r="N135" s="7" t="str">
        <f t="shared" si="21"/>
        <v>min</v>
      </c>
      <c r="O135" s="36">
        <f>(IF(OR(A135="DWF",A135="DNF"),Données_Planning!J133,MOD(Données_Planning!J133,60)))</f>
        <v>0</v>
      </c>
      <c r="P135" s="28" t="str">
        <f t="shared" si="22"/>
        <v>s</v>
      </c>
      <c r="Q135" s="37">
        <f>(IF(OR(A135="DWF",A135="DNF"),0,QUOTIENT(Données_Planning!I133,60)))</f>
        <v>0</v>
      </c>
      <c r="R135" s="7" t="str">
        <f t="shared" si="23"/>
        <v>min</v>
      </c>
      <c r="S135" s="36">
        <f>(IF(OR(A135="DWF",A135="DNF"),Données_Planning!I133,MOD(Données_Planning!I133,60)))</f>
        <v>0</v>
      </c>
      <c r="T135" s="28" t="str">
        <f t="shared" si="24"/>
        <v>s</v>
      </c>
      <c r="U135" s="37">
        <f>(IF(OR(A135="DWF",A135="DNF"),0,QUOTIENT(Données_Planning!K133,60)))</f>
        <v>0</v>
      </c>
      <c r="V135" s="7" t="str">
        <f t="shared" si="25"/>
        <v>min</v>
      </c>
      <c r="W135" s="36">
        <f>(IF(OR(A135="DWF",A135="DNF"),Données_Planning!K133,MOD(Données_Planning!K133,60)))</f>
        <v>0</v>
      </c>
      <c r="X135" s="38" t="str">
        <f t="shared" si="26"/>
        <v>s</v>
      </c>
      <c r="Y135" s="42"/>
    </row>
    <row r="136" spans="1:25" ht="15.75" x14ac:dyDescent="0.25">
      <c r="A136" s="4">
        <f>Données_Planning!A134</f>
        <v>0</v>
      </c>
      <c r="B136" s="6">
        <f>Données_Planning!B134</f>
        <v>0</v>
      </c>
      <c r="C136" s="28">
        <f>Données_Planning!C134</f>
        <v>0</v>
      </c>
      <c r="D136" s="50">
        <f t="shared" si="18"/>
        <v>0</v>
      </c>
      <c r="E136" s="51">
        <f t="shared" si="19"/>
        <v>0</v>
      </c>
      <c r="F136" s="52">
        <f t="shared" si="20"/>
        <v>0</v>
      </c>
      <c r="G136" s="47">
        <f>Données_Planning!L134</f>
        <v>0</v>
      </c>
      <c r="H136" s="18">
        <f>Données_Planning!H134</f>
        <v>0</v>
      </c>
      <c r="I136" s="5">
        <f>Données_Planning!D134</f>
        <v>0</v>
      </c>
      <c r="J136" s="22">
        <f>Données_Planning!F134</f>
        <v>0</v>
      </c>
      <c r="K136" s="22">
        <f>Données_Planning!E134</f>
        <v>0</v>
      </c>
      <c r="L136" s="35">
        <f>Données_Planning!G134</f>
        <v>0</v>
      </c>
      <c r="M136" s="37">
        <f>(IF(OR(A136="DWF",A136="DNF"),0,QUOTIENT(Données_Planning!J134,60)))</f>
        <v>0</v>
      </c>
      <c r="N136" s="7" t="str">
        <f t="shared" si="21"/>
        <v>min</v>
      </c>
      <c r="O136" s="36">
        <f>(IF(OR(A136="DWF",A136="DNF"),Données_Planning!J134,MOD(Données_Planning!J134,60)))</f>
        <v>0</v>
      </c>
      <c r="P136" s="28" t="str">
        <f t="shared" si="22"/>
        <v>s</v>
      </c>
      <c r="Q136" s="37">
        <f>(IF(OR(A136="DWF",A136="DNF"),0,QUOTIENT(Données_Planning!I134,60)))</f>
        <v>0</v>
      </c>
      <c r="R136" s="7" t="str">
        <f t="shared" si="23"/>
        <v>min</v>
      </c>
      <c r="S136" s="36">
        <f>(IF(OR(A136="DWF",A136="DNF"),Données_Planning!I134,MOD(Données_Planning!I134,60)))</f>
        <v>0</v>
      </c>
      <c r="T136" s="28" t="str">
        <f t="shared" si="24"/>
        <v>s</v>
      </c>
      <c r="U136" s="37">
        <f>(IF(OR(A136="DWF",A136="DNF"),0,QUOTIENT(Données_Planning!K134,60)))</f>
        <v>0</v>
      </c>
      <c r="V136" s="7" t="str">
        <f t="shared" si="25"/>
        <v>min</v>
      </c>
      <c r="W136" s="36">
        <f>(IF(OR(A136="DWF",A136="DNF"),Données_Planning!K134,MOD(Données_Planning!K134,60)))</f>
        <v>0</v>
      </c>
      <c r="X136" s="38" t="str">
        <f t="shared" si="26"/>
        <v>s</v>
      </c>
      <c r="Y136" s="42"/>
    </row>
    <row r="137" spans="1:25" ht="15.75" x14ac:dyDescent="0.25">
      <c r="A137" s="4">
        <f>Données_Planning!A135</f>
        <v>0</v>
      </c>
      <c r="B137" s="6">
        <f>Données_Planning!B135</f>
        <v>0</v>
      </c>
      <c r="C137" s="28">
        <f>Données_Planning!C135</f>
        <v>0</v>
      </c>
      <c r="D137" s="50">
        <f t="shared" si="18"/>
        <v>0</v>
      </c>
      <c r="E137" s="51">
        <f t="shared" si="19"/>
        <v>0</v>
      </c>
      <c r="F137" s="52">
        <f t="shared" si="20"/>
        <v>0</v>
      </c>
      <c r="G137" s="47">
        <f>Données_Planning!L135</f>
        <v>0</v>
      </c>
      <c r="H137" s="18">
        <f>Données_Planning!H135</f>
        <v>0</v>
      </c>
      <c r="I137" s="5">
        <f>Données_Planning!D135</f>
        <v>0</v>
      </c>
      <c r="J137" s="22">
        <f>Données_Planning!F135</f>
        <v>0</v>
      </c>
      <c r="K137" s="22">
        <f>Données_Planning!E135</f>
        <v>0</v>
      </c>
      <c r="L137" s="35">
        <f>Données_Planning!G135</f>
        <v>0</v>
      </c>
      <c r="M137" s="37">
        <f>(IF(OR(A137="DWF",A137="DNF"),0,QUOTIENT(Données_Planning!J135,60)))</f>
        <v>0</v>
      </c>
      <c r="N137" s="7" t="str">
        <f t="shared" si="21"/>
        <v>min</v>
      </c>
      <c r="O137" s="36">
        <f>(IF(OR(A137="DWF",A137="DNF"),Données_Planning!J135,MOD(Données_Planning!J135,60)))</f>
        <v>0</v>
      </c>
      <c r="P137" s="28" t="str">
        <f t="shared" si="22"/>
        <v>s</v>
      </c>
      <c r="Q137" s="37">
        <f>(IF(OR(A137="DWF",A137="DNF"),0,QUOTIENT(Données_Planning!I135,60)))</f>
        <v>0</v>
      </c>
      <c r="R137" s="7" t="str">
        <f t="shared" si="23"/>
        <v>min</v>
      </c>
      <c r="S137" s="36">
        <f>(IF(OR(A137="DWF",A137="DNF"),Données_Planning!I135,MOD(Données_Planning!I135,60)))</f>
        <v>0</v>
      </c>
      <c r="T137" s="28" t="str">
        <f t="shared" si="24"/>
        <v>s</v>
      </c>
      <c r="U137" s="37">
        <f>(IF(OR(A137="DWF",A137="DNF"),0,QUOTIENT(Données_Planning!K135,60)))</f>
        <v>0</v>
      </c>
      <c r="V137" s="7" t="str">
        <f t="shared" si="25"/>
        <v>min</v>
      </c>
      <c r="W137" s="36">
        <f>(IF(OR(A137="DWF",A137="DNF"),Données_Planning!K135,MOD(Données_Planning!K135,60)))</f>
        <v>0</v>
      </c>
      <c r="X137" s="38" t="str">
        <f t="shared" si="26"/>
        <v>s</v>
      </c>
      <c r="Y137" s="42"/>
    </row>
    <row r="138" spans="1:25" ht="15.75" x14ac:dyDescent="0.25">
      <c r="A138" s="4">
        <f>Données_Planning!A136</f>
        <v>0</v>
      </c>
      <c r="B138" s="6">
        <f>Données_Planning!B136</f>
        <v>0</v>
      </c>
      <c r="C138" s="28">
        <f>Données_Planning!C136</f>
        <v>0</v>
      </c>
      <c r="D138" s="50">
        <f t="shared" si="18"/>
        <v>0</v>
      </c>
      <c r="E138" s="51">
        <f t="shared" si="19"/>
        <v>0</v>
      </c>
      <c r="F138" s="52">
        <f t="shared" si="20"/>
        <v>0</v>
      </c>
      <c r="G138" s="47">
        <f>Données_Planning!L136</f>
        <v>0</v>
      </c>
      <c r="H138" s="18">
        <f>Données_Planning!H136</f>
        <v>0</v>
      </c>
      <c r="I138" s="5">
        <f>Données_Planning!D136</f>
        <v>0</v>
      </c>
      <c r="J138" s="22">
        <f>Données_Planning!F136</f>
        <v>0</v>
      </c>
      <c r="K138" s="22">
        <f>Données_Planning!E136</f>
        <v>0</v>
      </c>
      <c r="L138" s="35">
        <f>Données_Planning!G136</f>
        <v>0</v>
      </c>
      <c r="M138" s="37">
        <f>(IF(OR(A138="DWF",A138="DNF"),0,QUOTIENT(Données_Planning!J136,60)))</f>
        <v>0</v>
      </c>
      <c r="N138" s="7" t="str">
        <f t="shared" si="21"/>
        <v>min</v>
      </c>
      <c r="O138" s="36">
        <f>(IF(OR(A138="DWF",A138="DNF"),Données_Planning!J136,MOD(Données_Planning!J136,60)))</f>
        <v>0</v>
      </c>
      <c r="P138" s="28" t="str">
        <f t="shared" si="22"/>
        <v>s</v>
      </c>
      <c r="Q138" s="37">
        <f>(IF(OR(A138="DWF",A138="DNF"),0,QUOTIENT(Données_Planning!I136,60)))</f>
        <v>0</v>
      </c>
      <c r="R138" s="7" t="str">
        <f t="shared" si="23"/>
        <v>min</v>
      </c>
      <c r="S138" s="36">
        <f>(IF(OR(A138="DWF",A138="DNF"),Données_Planning!I136,MOD(Données_Planning!I136,60)))</f>
        <v>0</v>
      </c>
      <c r="T138" s="28" t="str">
        <f t="shared" si="24"/>
        <v>s</v>
      </c>
      <c r="U138" s="37">
        <f>(IF(OR(A138="DWF",A138="DNF"),0,QUOTIENT(Données_Planning!K136,60)))</f>
        <v>0</v>
      </c>
      <c r="V138" s="7" t="str">
        <f t="shared" si="25"/>
        <v>min</v>
      </c>
      <c r="W138" s="36">
        <f>(IF(OR(A138="DWF",A138="DNF"),Données_Planning!K136,MOD(Données_Planning!K136,60)))</f>
        <v>0</v>
      </c>
      <c r="X138" s="38" t="str">
        <f t="shared" si="26"/>
        <v>s</v>
      </c>
      <c r="Y138" s="42"/>
    </row>
    <row r="139" spans="1:25" ht="15.75" x14ac:dyDescent="0.25">
      <c r="A139" s="4">
        <f>Données_Planning!A137</f>
        <v>0</v>
      </c>
      <c r="B139" s="6">
        <f>Données_Planning!B137</f>
        <v>0</v>
      </c>
      <c r="C139" s="28">
        <f>Données_Planning!C137</f>
        <v>0</v>
      </c>
      <c r="D139" s="50">
        <f t="shared" si="18"/>
        <v>0</v>
      </c>
      <c r="E139" s="51">
        <f t="shared" si="19"/>
        <v>0</v>
      </c>
      <c r="F139" s="52">
        <f t="shared" si="20"/>
        <v>0</v>
      </c>
      <c r="G139" s="47">
        <f>Données_Planning!L137</f>
        <v>0</v>
      </c>
      <c r="H139" s="18">
        <f>Données_Planning!H137</f>
        <v>0</v>
      </c>
      <c r="I139" s="5">
        <f>Données_Planning!D137</f>
        <v>0</v>
      </c>
      <c r="J139" s="22">
        <f>Données_Planning!F137</f>
        <v>0</v>
      </c>
      <c r="K139" s="22">
        <f>Données_Planning!E137</f>
        <v>0</v>
      </c>
      <c r="L139" s="35">
        <f>Données_Planning!G137</f>
        <v>0</v>
      </c>
      <c r="M139" s="37">
        <f>(IF(OR(A139="DWF",A139="DNF"),0,QUOTIENT(Données_Planning!J137,60)))</f>
        <v>0</v>
      </c>
      <c r="N139" s="7" t="str">
        <f t="shared" si="21"/>
        <v>min</v>
      </c>
      <c r="O139" s="36">
        <f>(IF(OR(A139="DWF",A139="DNF"),Données_Planning!J137,MOD(Données_Planning!J137,60)))</f>
        <v>0</v>
      </c>
      <c r="P139" s="28" t="str">
        <f t="shared" si="22"/>
        <v>s</v>
      </c>
      <c r="Q139" s="37">
        <f>(IF(OR(A139="DWF",A139="DNF"),0,QUOTIENT(Données_Planning!I137,60)))</f>
        <v>0</v>
      </c>
      <c r="R139" s="7" t="str">
        <f t="shared" si="23"/>
        <v>min</v>
      </c>
      <c r="S139" s="36">
        <f>(IF(OR(A139="DWF",A139="DNF"),Données_Planning!I137,MOD(Données_Planning!I137,60)))</f>
        <v>0</v>
      </c>
      <c r="T139" s="28" t="str">
        <f t="shared" si="24"/>
        <v>s</v>
      </c>
      <c r="U139" s="37">
        <f>(IF(OR(A139="DWF",A139="DNF"),0,QUOTIENT(Données_Planning!K137,60)))</f>
        <v>0</v>
      </c>
      <c r="V139" s="7" t="str">
        <f t="shared" si="25"/>
        <v>min</v>
      </c>
      <c r="W139" s="36">
        <f>(IF(OR(A139="DWF",A139="DNF"),Données_Planning!K137,MOD(Données_Planning!K137,60)))</f>
        <v>0</v>
      </c>
      <c r="X139" s="38" t="str">
        <f t="shared" si="26"/>
        <v>s</v>
      </c>
      <c r="Y139" s="42"/>
    </row>
    <row r="140" spans="1:25" ht="15.75" x14ac:dyDescent="0.25">
      <c r="A140" s="4">
        <f>Données_Planning!A138</f>
        <v>0</v>
      </c>
      <c r="B140" s="6">
        <f>Données_Planning!B138</f>
        <v>0</v>
      </c>
      <c r="C140" s="28">
        <f>Données_Planning!C138</f>
        <v>0</v>
      </c>
      <c r="D140" s="50">
        <f t="shared" si="18"/>
        <v>0</v>
      </c>
      <c r="E140" s="51">
        <f t="shared" si="19"/>
        <v>0</v>
      </c>
      <c r="F140" s="52">
        <f t="shared" si="20"/>
        <v>0</v>
      </c>
      <c r="G140" s="47">
        <f>Données_Planning!L138</f>
        <v>0</v>
      </c>
      <c r="H140" s="18">
        <f>Données_Planning!H138</f>
        <v>0</v>
      </c>
      <c r="I140" s="5">
        <f>Données_Planning!D138</f>
        <v>0</v>
      </c>
      <c r="J140" s="22">
        <f>Données_Planning!F138</f>
        <v>0</v>
      </c>
      <c r="K140" s="22">
        <f>Données_Planning!E138</f>
        <v>0</v>
      </c>
      <c r="L140" s="35">
        <f>Données_Planning!G138</f>
        <v>0</v>
      </c>
      <c r="M140" s="37">
        <f>(IF(OR(A140="DWF",A140="DNF"),0,QUOTIENT(Données_Planning!J138,60)))</f>
        <v>0</v>
      </c>
      <c r="N140" s="7" t="str">
        <f t="shared" si="21"/>
        <v>min</v>
      </c>
      <c r="O140" s="36">
        <f>(IF(OR(A140="DWF",A140="DNF"),Données_Planning!J138,MOD(Données_Planning!J138,60)))</f>
        <v>0</v>
      </c>
      <c r="P140" s="28" t="str">
        <f t="shared" si="22"/>
        <v>s</v>
      </c>
      <c r="Q140" s="37">
        <f>(IF(OR(A140="DWF",A140="DNF"),0,QUOTIENT(Données_Planning!I138,60)))</f>
        <v>0</v>
      </c>
      <c r="R140" s="7" t="str">
        <f t="shared" si="23"/>
        <v>min</v>
      </c>
      <c r="S140" s="36">
        <f>(IF(OR(A140="DWF",A140="DNF"),Données_Planning!I138,MOD(Données_Planning!I138,60)))</f>
        <v>0</v>
      </c>
      <c r="T140" s="28" t="str">
        <f t="shared" si="24"/>
        <v>s</v>
      </c>
      <c r="U140" s="37">
        <f>(IF(OR(A140="DWF",A140="DNF"),0,QUOTIENT(Données_Planning!K138,60)))</f>
        <v>0</v>
      </c>
      <c r="V140" s="7" t="str">
        <f t="shared" si="25"/>
        <v>min</v>
      </c>
      <c r="W140" s="36">
        <f>(IF(OR(A140="DWF",A140="DNF"),Données_Planning!K138,MOD(Données_Planning!K138,60)))</f>
        <v>0</v>
      </c>
      <c r="X140" s="38" t="str">
        <f t="shared" si="26"/>
        <v>s</v>
      </c>
      <c r="Y140" s="42"/>
    </row>
    <row r="141" spans="1:25" ht="15.75" x14ac:dyDescent="0.25">
      <c r="A141" s="4">
        <f>Données_Planning!A139</f>
        <v>0</v>
      </c>
      <c r="B141" s="6">
        <f>Données_Planning!B139</f>
        <v>0</v>
      </c>
      <c r="C141" s="28">
        <f>Données_Planning!C139</f>
        <v>0</v>
      </c>
      <c r="D141" s="50">
        <f t="shared" si="18"/>
        <v>0</v>
      </c>
      <c r="E141" s="51">
        <f t="shared" si="19"/>
        <v>0</v>
      </c>
      <c r="F141" s="52">
        <f t="shared" si="20"/>
        <v>0</v>
      </c>
      <c r="G141" s="47">
        <f>Données_Planning!L139</f>
        <v>0</v>
      </c>
      <c r="H141" s="18">
        <f>Données_Planning!H139</f>
        <v>0</v>
      </c>
      <c r="I141" s="5">
        <f>Données_Planning!D139</f>
        <v>0</v>
      </c>
      <c r="J141" s="22">
        <f>Données_Planning!F139</f>
        <v>0</v>
      </c>
      <c r="K141" s="22">
        <f>Données_Planning!E139</f>
        <v>0</v>
      </c>
      <c r="L141" s="35">
        <f>Données_Planning!G139</f>
        <v>0</v>
      </c>
      <c r="M141" s="37">
        <f>(IF(OR(A141="DWF",A141="DNF"),0,QUOTIENT(Données_Planning!J139,60)))</f>
        <v>0</v>
      </c>
      <c r="N141" s="7" t="str">
        <f t="shared" si="21"/>
        <v>min</v>
      </c>
      <c r="O141" s="36">
        <f>(IF(OR(A141="DWF",A141="DNF"),Données_Planning!J139,MOD(Données_Planning!J139,60)))</f>
        <v>0</v>
      </c>
      <c r="P141" s="28" t="str">
        <f t="shared" si="22"/>
        <v>s</v>
      </c>
      <c r="Q141" s="37">
        <f>(IF(OR(A141="DWF",A141="DNF"),0,QUOTIENT(Données_Planning!I139,60)))</f>
        <v>0</v>
      </c>
      <c r="R141" s="7" t="str">
        <f t="shared" si="23"/>
        <v>min</v>
      </c>
      <c r="S141" s="36">
        <f>(IF(OR(A141="DWF",A141="DNF"),Données_Planning!I139,MOD(Données_Planning!I139,60)))</f>
        <v>0</v>
      </c>
      <c r="T141" s="28" t="str">
        <f t="shared" si="24"/>
        <v>s</v>
      </c>
      <c r="U141" s="37">
        <f>(IF(OR(A141="DWF",A141="DNF"),0,QUOTIENT(Données_Planning!K139,60)))</f>
        <v>0</v>
      </c>
      <c r="V141" s="7" t="str">
        <f t="shared" si="25"/>
        <v>min</v>
      </c>
      <c r="W141" s="36">
        <f>(IF(OR(A141="DWF",A141="DNF"),Données_Planning!K139,MOD(Données_Planning!K139,60)))</f>
        <v>0</v>
      </c>
      <c r="X141" s="38" t="str">
        <f t="shared" si="26"/>
        <v>s</v>
      </c>
      <c r="Y141" s="42"/>
    </row>
    <row r="142" spans="1:25" ht="15.75" x14ac:dyDescent="0.25">
      <c r="A142" s="4">
        <f>Données_Planning!A140</f>
        <v>0</v>
      </c>
      <c r="B142" s="6">
        <f>Données_Planning!B140</f>
        <v>0</v>
      </c>
      <c r="C142" s="28">
        <f>Données_Planning!C140</f>
        <v>0</v>
      </c>
      <c r="D142" s="50">
        <f t="shared" si="18"/>
        <v>0</v>
      </c>
      <c r="E142" s="51">
        <f t="shared" si="19"/>
        <v>0</v>
      </c>
      <c r="F142" s="52">
        <f t="shared" si="20"/>
        <v>0</v>
      </c>
      <c r="G142" s="47">
        <f>Données_Planning!L140</f>
        <v>0</v>
      </c>
      <c r="H142" s="18">
        <f>Données_Planning!H140</f>
        <v>0</v>
      </c>
      <c r="I142" s="5">
        <f>Données_Planning!D140</f>
        <v>0</v>
      </c>
      <c r="J142" s="22">
        <f>Données_Planning!F140</f>
        <v>0</v>
      </c>
      <c r="K142" s="22">
        <f>Données_Planning!E140</f>
        <v>0</v>
      </c>
      <c r="L142" s="35">
        <f>Données_Planning!G140</f>
        <v>0</v>
      </c>
      <c r="M142" s="37">
        <f>(IF(OR(A142="DWF",A142="DNF"),0,QUOTIENT(Données_Planning!J140,60)))</f>
        <v>0</v>
      </c>
      <c r="N142" s="7" t="str">
        <f t="shared" si="21"/>
        <v>min</v>
      </c>
      <c r="O142" s="36">
        <f>(IF(OR(A142="DWF",A142="DNF"),Données_Planning!J140,MOD(Données_Planning!J140,60)))</f>
        <v>0</v>
      </c>
      <c r="P142" s="28" t="str">
        <f t="shared" si="22"/>
        <v>s</v>
      </c>
      <c r="Q142" s="37">
        <f>(IF(OR(A142="DWF",A142="DNF"),0,QUOTIENT(Données_Planning!I140,60)))</f>
        <v>0</v>
      </c>
      <c r="R142" s="7" t="str">
        <f t="shared" si="23"/>
        <v>min</v>
      </c>
      <c r="S142" s="36">
        <f>(IF(OR(A142="DWF",A142="DNF"),Données_Planning!I140,MOD(Données_Planning!I140,60)))</f>
        <v>0</v>
      </c>
      <c r="T142" s="28" t="str">
        <f t="shared" si="24"/>
        <v>s</v>
      </c>
      <c r="U142" s="37">
        <f>(IF(OR(A142="DWF",A142="DNF"),0,QUOTIENT(Données_Planning!K140,60)))</f>
        <v>0</v>
      </c>
      <c r="V142" s="7" t="str">
        <f t="shared" si="25"/>
        <v>min</v>
      </c>
      <c r="W142" s="36">
        <f>(IF(OR(A142="DWF",A142="DNF"),Données_Planning!K140,MOD(Données_Planning!K140,60)))</f>
        <v>0</v>
      </c>
      <c r="X142" s="38" t="str">
        <f t="shared" si="26"/>
        <v>s</v>
      </c>
      <c r="Y142" s="42"/>
    </row>
    <row r="143" spans="1:25" ht="15.75" x14ac:dyDescent="0.25">
      <c r="A143" s="4">
        <f>Données_Planning!A141</f>
        <v>0</v>
      </c>
      <c r="B143" s="6">
        <f>Données_Planning!B141</f>
        <v>0</v>
      </c>
      <c r="C143" s="28">
        <f>Données_Planning!C141</f>
        <v>0</v>
      </c>
      <c r="D143" s="50">
        <f t="shared" si="18"/>
        <v>0</v>
      </c>
      <c r="E143" s="51">
        <f t="shared" si="19"/>
        <v>0</v>
      </c>
      <c r="F143" s="52">
        <f t="shared" si="20"/>
        <v>0</v>
      </c>
      <c r="G143" s="47">
        <f>Données_Planning!L141</f>
        <v>0</v>
      </c>
      <c r="H143" s="18">
        <f>Données_Planning!H141</f>
        <v>0</v>
      </c>
      <c r="I143" s="5">
        <f>Données_Planning!D141</f>
        <v>0</v>
      </c>
      <c r="J143" s="22">
        <f>Données_Planning!F141</f>
        <v>0</v>
      </c>
      <c r="K143" s="22">
        <f>Données_Planning!E141</f>
        <v>0</v>
      </c>
      <c r="L143" s="35">
        <f>Données_Planning!G141</f>
        <v>0</v>
      </c>
      <c r="M143" s="37">
        <f>(IF(OR(A143="DWF",A143="DNF"),0,QUOTIENT(Données_Planning!J141,60)))</f>
        <v>0</v>
      </c>
      <c r="N143" s="7" t="str">
        <f t="shared" si="21"/>
        <v>min</v>
      </c>
      <c r="O143" s="36">
        <f>(IF(OR(A143="DWF",A143="DNF"),Données_Planning!J141,MOD(Données_Planning!J141,60)))</f>
        <v>0</v>
      </c>
      <c r="P143" s="28" t="str">
        <f t="shared" si="22"/>
        <v>s</v>
      </c>
      <c r="Q143" s="37">
        <f>(IF(OR(A143="DWF",A143="DNF"),0,QUOTIENT(Données_Planning!I141,60)))</f>
        <v>0</v>
      </c>
      <c r="R143" s="7" t="str">
        <f t="shared" si="23"/>
        <v>min</v>
      </c>
      <c r="S143" s="36">
        <f>(IF(OR(A143="DWF",A143="DNF"),Données_Planning!I141,MOD(Données_Planning!I141,60)))</f>
        <v>0</v>
      </c>
      <c r="T143" s="28" t="str">
        <f t="shared" si="24"/>
        <v>s</v>
      </c>
      <c r="U143" s="37">
        <f>(IF(OR(A143="DWF",A143="DNF"),0,QUOTIENT(Données_Planning!K141,60)))</f>
        <v>0</v>
      </c>
      <c r="V143" s="7" t="str">
        <f t="shared" si="25"/>
        <v>min</v>
      </c>
      <c r="W143" s="36">
        <f>(IF(OR(A143="DWF",A143="DNF"),Données_Planning!K141,MOD(Données_Planning!K141,60)))</f>
        <v>0</v>
      </c>
      <c r="X143" s="38" t="str">
        <f t="shared" si="26"/>
        <v>s</v>
      </c>
      <c r="Y143" s="42"/>
    </row>
    <row r="144" spans="1:25" ht="15.75" x14ac:dyDescent="0.25">
      <c r="A144" s="4">
        <f>Données_Planning!A142</f>
        <v>0</v>
      </c>
      <c r="B144" s="6">
        <f>Données_Planning!B142</f>
        <v>0</v>
      </c>
      <c r="C144" s="28">
        <f>Données_Planning!C142</f>
        <v>0</v>
      </c>
      <c r="D144" s="50">
        <f t="shared" si="18"/>
        <v>0</v>
      </c>
      <c r="E144" s="51">
        <f t="shared" si="19"/>
        <v>0</v>
      </c>
      <c r="F144" s="52">
        <f t="shared" si="20"/>
        <v>0</v>
      </c>
      <c r="G144" s="47">
        <f>Données_Planning!L142</f>
        <v>0</v>
      </c>
      <c r="H144" s="18">
        <f>Données_Planning!H142</f>
        <v>0</v>
      </c>
      <c r="I144" s="5">
        <f>Données_Planning!D142</f>
        <v>0</v>
      </c>
      <c r="J144" s="22">
        <f>Données_Planning!F142</f>
        <v>0</v>
      </c>
      <c r="K144" s="22">
        <f>Données_Planning!E142</f>
        <v>0</v>
      </c>
      <c r="L144" s="35">
        <f>Données_Planning!G142</f>
        <v>0</v>
      </c>
      <c r="M144" s="37">
        <f>(IF(OR(A144="DWF",A144="DNF"),0,QUOTIENT(Données_Planning!J142,60)))</f>
        <v>0</v>
      </c>
      <c r="N144" s="7" t="str">
        <f t="shared" si="21"/>
        <v>min</v>
      </c>
      <c r="O144" s="36">
        <f>(IF(OR(A144="DWF",A144="DNF"),Données_Planning!J142,MOD(Données_Planning!J142,60)))</f>
        <v>0</v>
      </c>
      <c r="P144" s="28" t="str">
        <f t="shared" si="22"/>
        <v>s</v>
      </c>
      <c r="Q144" s="37">
        <f>(IF(OR(A144="DWF",A144="DNF"),0,QUOTIENT(Données_Planning!I142,60)))</f>
        <v>0</v>
      </c>
      <c r="R144" s="7" t="str">
        <f t="shared" si="23"/>
        <v>min</v>
      </c>
      <c r="S144" s="36">
        <f>(IF(OR(A144="DWF",A144="DNF"),Données_Planning!I142,MOD(Données_Planning!I142,60)))</f>
        <v>0</v>
      </c>
      <c r="T144" s="28" t="str">
        <f t="shared" si="24"/>
        <v>s</v>
      </c>
      <c r="U144" s="37">
        <f>(IF(OR(A144="DWF",A144="DNF"),0,QUOTIENT(Données_Planning!K142,60)))</f>
        <v>0</v>
      </c>
      <c r="V144" s="7" t="str">
        <f t="shared" si="25"/>
        <v>min</v>
      </c>
      <c r="W144" s="36">
        <f>(IF(OR(A144="DWF",A144="DNF"),Données_Planning!K142,MOD(Données_Planning!K142,60)))</f>
        <v>0</v>
      </c>
      <c r="X144" s="38" t="str">
        <f t="shared" si="26"/>
        <v>s</v>
      </c>
      <c r="Y144" s="42"/>
    </row>
    <row r="145" spans="1:25" ht="15.75" x14ac:dyDescent="0.25">
      <c r="A145" s="4">
        <f>Données_Planning!A143</f>
        <v>0</v>
      </c>
      <c r="B145" s="6">
        <f>Données_Planning!B143</f>
        <v>0</v>
      </c>
      <c r="C145" s="28">
        <f>Données_Planning!C143</f>
        <v>0</v>
      </c>
      <c r="D145" s="50">
        <f t="shared" si="18"/>
        <v>0</v>
      </c>
      <c r="E145" s="51">
        <f t="shared" si="19"/>
        <v>0</v>
      </c>
      <c r="F145" s="52">
        <f t="shared" si="20"/>
        <v>0</v>
      </c>
      <c r="G145" s="47">
        <f>Données_Planning!L143</f>
        <v>0</v>
      </c>
      <c r="H145" s="18">
        <f>Données_Planning!H143</f>
        <v>0</v>
      </c>
      <c r="I145" s="5">
        <f>Données_Planning!D143</f>
        <v>0</v>
      </c>
      <c r="J145" s="22">
        <f>Données_Planning!F143</f>
        <v>0</v>
      </c>
      <c r="K145" s="22">
        <f>Données_Planning!E143</f>
        <v>0</v>
      </c>
      <c r="L145" s="35">
        <f>Données_Planning!G143</f>
        <v>0</v>
      </c>
      <c r="M145" s="37">
        <f>(IF(OR(A145="DWF",A145="DNF"),0,QUOTIENT(Données_Planning!J143,60)))</f>
        <v>0</v>
      </c>
      <c r="N145" s="7" t="str">
        <f t="shared" si="21"/>
        <v>min</v>
      </c>
      <c r="O145" s="36">
        <f>(IF(OR(A145="DWF",A145="DNF"),Données_Planning!J143,MOD(Données_Planning!J143,60)))</f>
        <v>0</v>
      </c>
      <c r="P145" s="28" t="str">
        <f t="shared" si="22"/>
        <v>s</v>
      </c>
      <c r="Q145" s="37">
        <f>(IF(OR(A145="DWF",A145="DNF"),0,QUOTIENT(Données_Planning!I143,60)))</f>
        <v>0</v>
      </c>
      <c r="R145" s="7" t="str">
        <f t="shared" si="23"/>
        <v>min</v>
      </c>
      <c r="S145" s="36">
        <f>(IF(OR(A145="DWF",A145="DNF"),Données_Planning!I143,MOD(Données_Planning!I143,60)))</f>
        <v>0</v>
      </c>
      <c r="T145" s="28" t="str">
        <f t="shared" si="24"/>
        <v>s</v>
      </c>
      <c r="U145" s="37">
        <f>(IF(OR(A145="DWF",A145="DNF"),0,QUOTIENT(Données_Planning!K143,60)))</f>
        <v>0</v>
      </c>
      <c r="V145" s="7" t="str">
        <f t="shared" si="25"/>
        <v>min</v>
      </c>
      <c r="W145" s="36">
        <f>(IF(OR(A145="DWF",A145="DNF"),Données_Planning!K143,MOD(Données_Planning!K143,60)))</f>
        <v>0</v>
      </c>
      <c r="X145" s="38" t="str">
        <f t="shared" si="26"/>
        <v>s</v>
      </c>
      <c r="Y145" s="42"/>
    </row>
    <row r="146" spans="1:25" ht="15.75" x14ac:dyDescent="0.25">
      <c r="A146" s="4">
        <f>Données_Planning!A144</f>
        <v>0</v>
      </c>
      <c r="B146" s="6">
        <f>Données_Planning!B144</f>
        <v>0</v>
      </c>
      <c r="C146" s="28">
        <f>Données_Planning!C144</f>
        <v>0</v>
      </c>
      <c r="D146" s="50">
        <f t="shared" si="18"/>
        <v>0</v>
      </c>
      <c r="E146" s="51">
        <f t="shared" si="19"/>
        <v>0</v>
      </c>
      <c r="F146" s="52">
        <f t="shared" si="20"/>
        <v>0</v>
      </c>
      <c r="G146" s="47">
        <f>Données_Planning!L144</f>
        <v>0</v>
      </c>
      <c r="H146" s="18">
        <f>Données_Planning!H144</f>
        <v>0</v>
      </c>
      <c r="I146" s="5">
        <f>Données_Planning!D144</f>
        <v>0</v>
      </c>
      <c r="J146" s="22">
        <f>Données_Planning!F144</f>
        <v>0</v>
      </c>
      <c r="K146" s="22">
        <f>Données_Planning!E144</f>
        <v>0</v>
      </c>
      <c r="L146" s="35">
        <f>Données_Planning!G144</f>
        <v>0</v>
      </c>
      <c r="M146" s="37">
        <f>(IF(OR(A146="DWF",A146="DNF"),0,QUOTIENT(Données_Planning!J144,60)))</f>
        <v>0</v>
      </c>
      <c r="N146" s="7" t="str">
        <f t="shared" si="21"/>
        <v>min</v>
      </c>
      <c r="O146" s="36">
        <f>(IF(OR(A146="DWF",A146="DNF"),Données_Planning!J144,MOD(Données_Planning!J144,60)))</f>
        <v>0</v>
      </c>
      <c r="P146" s="28" t="str">
        <f t="shared" si="22"/>
        <v>s</v>
      </c>
      <c r="Q146" s="37">
        <f>(IF(OR(A146="DWF",A146="DNF"),0,QUOTIENT(Données_Planning!I144,60)))</f>
        <v>0</v>
      </c>
      <c r="R146" s="7" t="str">
        <f t="shared" si="23"/>
        <v>min</v>
      </c>
      <c r="S146" s="36">
        <f>(IF(OR(A146="DWF",A146="DNF"),Données_Planning!I144,MOD(Données_Planning!I144,60)))</f>
        <v>0</v>
      </c>
      <c r="T146" s="28" t="str">
        <f t="shared" si="24"/>
        <v>s</v>
      </c>
      <c r="U146" s="37">
        <f>(IF(OR(A146="DWF",A146="DNF"),0,QUOTIENT(Données_Planning!K144,60)))</f>
        <v>0</v>
      </c>
      <c r="V146" s="7" t="str">
        <f t="shared" si="25"/>
        <v>min</v>
      </c>
      <c r="W146" s="36">
        <f>(IF(OR(A146="DWF",A146="DNF"),Données_Planning!K144,MOD(Données_Planning!K144,60)))</f>
        <v>0</v>
      </c>
      <c r="X146" s="38" t="str">
        <f t="shared" si="26"/>
        <v>s</v>
      </c>
      <c r="Y146" s="42"/>
    </row>
    <row r="147" spans="1:25" ht="15.75" x14ac:dyDescent="0.25">
      <c r="A147" s="4">
        <f>Données_Planning!A145</f>
        <v>0</v>
      </c>
      <c r="B147" s="6">
        <f>Données_Planning!B145</f>
        <v>0</v>
      </c>
      <c r="C147" s="28">
        <f>Données_Planning!C145</f>
        <v>0</v>
      </c>
      <c r="D147" s="50">
        <f t="shared" si="18"/>
        <v>0</v>
      </c>
      <c r="E147" s="51">
        <f t="shared" si="19"/>
        <v>0</v>
      </c>
      <c r="F147" s="52">
        <f t="shared" si="20"/>
        <v>0</v>
      </c>
      <c r="G147" s="47">
        <f>Données_Planning!L145</f>
        <v>0</v>
      </c>
      <c r="H147" s="18">
        <f>Données_Planning!H145</f>
        <v>0</v>
      </c>
      <c r="I147" s="5">
        <f>Données_Planning!D145</f>
        <v>0</v>
      </c>
      <c r="J147" s="22">
        <f>Données_Planning!F145</f>
        <v>0</v>
      </c>
      <c r="K147" s="22">
        <f>Données_Planning!E145</f>
        <v>0</v>
      </c>
      <c r="L147" s="35">
        <f>Données_Planning!G145</f>
        <v>0</v>
      </c>
      <c r="M147" s="37">
        <f>(IF(OR(A147="DWF",A147="DNF"),0,QUOTIENT(Données_Planning!J145,60)))</f>
        <v>0</v>
      </c>
      <c r="N147" s="7" t="str">
        <f t="shared" si="21"/>
        <v>min</v>
      </c>
      <c r="O147" s="36">
        <f>(IF(OR(A147="DWF",A147="DNF"),Données_Planning!J145,MOD(Données_Planning!J145,60)))</f>
        <v>0</v>
      </c>
      <c r="P147" s="28" t="str">
        <f t="shared" si="22"/>
        <v>s</v>
      </c>
      <c r="Q147" s="37">
        <f>(IF(OR(A147="DWF",A147="DNF"),0,QUOTIENT(Données_Planning!I145,60)))</f>
        <v>0</v>
      </c>
      <c r="R147" s="7" t="str">
        <f t="shared" si="23"/>
        <v>min</v>
      </c>
      <c r="S147" s="36">
        <f>(IF(OR(A147="DWF",A147="DNF"),Données_Planning!I145,MOD(Données_Planning!I145,60)))</f>
        <v>0</v>
      </c>
      <c r="T147" s="28" t="str">
        <f t="shared" si="24"/>
        <v>s</v>
      </c>
      <c r="U147" s="37">
        <f>(IF(OR(A147="DWF",A147="DNF"),0,QUOTIENT(Données_Planning!K145,60)))</f>
        <v>0</v>
      </c>
      <c r="V147" s="7" t="str">
        <f t="shared" si="25"/>
        <v>min</v>
      </c>
      <c r="W147" s="36">
        <f>(IF(OR(A147="DWF",A147="DNF"),Données_Planning!K145,MOD(Données_Planning!K145,60)))</f>
        <v>0</v>
      </c>
      <c r="X147" s="38" t="str">
        <f t="shared" si="26"/>
        <v>s</v>
      </c>
      <c r="Y147" s="42"/>
    </row>
    <row r="148" spans="1:25" ht="15.75" x14ac:dyDescent="0.25">
      <c r="A148" s="4">
        <f>Données_Planning!A146</f>
        <v>0</v>
      </c>
      <c r="B148" s="6">
        <f>Données_Planning!B146</f>
        <v>0</v>
      </c>
      <c r="C148" s="28">
        <f>Données_Planning!C146</f>
        <v>0</v>
      </c>
      <c r="D148" s="50">
        <f t="shared" si="18"/>
        <v>0</v>
      </c>
      <c r="E148" s="51">
        <f t="shared" si="19"/>
        <v>0</v>
      </c>
      <c r="F148" s="52">
        <f t="shared" si="20"/>
        <v>0</v>
      </c>
      <c r="G148" s="47">
        <f>Données_Planning!L146</f>
        <v>0</v>
      </c>
      <c r="H148" s="18">
        <f>Données_Planning!H146</f>
        <v>0</v>
      </c>
      <c r="I148" s="5">
        <f>Données_Planning!D146</f>
        <v>0</v>
      </c>
      <c r="J148" s="22">
        <f>Données_Planning!F146</f>
        <v>0</v>
      </c>
      <c r="K148" s="22">
        <f>Données_Planning!E146</f>
        <v>0</v>
      </c>
      <c r="L148" s="35">
        <f>Données_Planning!G146</f>
        <v>0</v>
      </c>
      <c r="M148" s="37">
        <f>(IF(OR(A148="DWF",A148="DNF"),0,QUOTIENT(Données_Planning!J146,60)))</f>
        <v>0</v>
      </c>
      <c r="N148" s="7" t="str">
        <f t="shared" si="21"/>
        <v>min</v>
      </c>
      <c r="O148" s="36">
        <f>(IF(OR(A148="DWF",A148="DNF"),Données_Planning!J146,MOD(Données_Planning!J146,60)))</f>
        <v>0</v>
      </c>
      <c r="P148" s="28" t="str">
        <f t="shared" si="22"/>
        <v>s</v>
      </c>
      <c r="Q148" s="37">
        <f>(IF(OR(A148="DWF",A148="DNF"),0,QUOTIENT(Données_Planning!I146,60)))</f>
        <v>0</v>
      </c>
      <c r="R148" s="7" t="str">
        <f t="shared" si="23"/>
        <v>min</v>
      </c>
      <c r="S148" s="36">
        <f>(IF(OR(A148="DWF",A148="DNF"),Données_Planning!I146,MOD(Données_Planning!I146,60)))</f>
        <v>0</v>
      </c>
      <c r="T148" s="28" t="str">
        <f t="shared" si="24"/>
        <v>s</v>
      </c>
      <c r="U148" s="37">
        <f>(IF(OR(A148="DWF",A148="DNF"),0,QUOTIENT(Données_Planning!K146,60)))</f>
        <v>0</v>
      </c>
      <c r="V148" s="7" t="str">
        <f t="shared" si="25"/>
        <v>min</v>
      </c>
      <c r="W148" s="36">
        <f>(IF(OR(A148="DWF",A148="DNF"),Données_Planning!K146,MOD(Données_Planning!K146,60)))</f>
        <v>0</v>
      </c>
      <c r="X148" s="38" t="str">
        <f t="shared" si="26"/>
        <v>s</v>
      </c>
      <c r="Y148" s="42"/>
    </row>
    <row r="149" spans="1:25" ht="15.75" x14ac:dyDescent="0.25">
      <c r="A149" s="4">
        <f>Données_Planning!A147</f>
        <v>0</v>
      </c>
      <c r="B149" s="6">
        <f>Données_Planning!B147</f>
        <v>0</v>
      </c>
      <c r="C149" s="28">
        <f>Données_Planning!C147</f>
        <v>0</v>
      </c>
      <c r="D149" s="50">
        <f t="shared" si="18"/>
        <v>0</v>
      </c>
      <c r="E149" s="51">
        <f t="shared" si="19"/>
        <v>0</v>
      </c>
      <c r="F149" s="52">
        <f t="shared" si="20"/>
        <v>0</v>
      </c>
      <c r="G149" s="47">
        <f>Données_Planning!L147</f>
        <v>0</v>
      </c>
      <c r="H149" s="18">
        <f>Données_Planning!H147</f>
        <v>0</v>
      </c>
      <c r="I149" s="5">
        <f>Données_Planning!D147</f>
        <v>0</v>
      </c>
      <c r="J149" s="22">
        <f>Données_Planning!F147</f>
        <v>0</v>
      </c>
      <c r="K149" s="22">
        <f>Données_Planning!E147</f>
        <v>0</v>
      </c>
      <c r="L149" s="35">
        <f>Données_Planning!G147</f>
        <v>0</v>
      </c>
      <c r="M149" s="37">
        <f>(IF(OR(A149="DWF",A149="DNF"),0,QUOTIENT(Données_Planning!J147,60)))</f>
        <v>0</v>
      </c>
      <c r="N149" s="7" t="str">
        <f t="shared" si="21"/>
        <v>min</v>
      </c>
      <c r="O149" s="36">
        <f>(IF(OR(A149="DWF",A149="DNF"),Données_Planning!J147,MOD(Données_Planning!J147,60)))</f>
        <v>0</v>
      </c>
      <c r="P149" s="28" t="str">
        <f t="shared" si="22"/>
        <v>s</v>
      </c>
      <c r="Q149" s="37">
        <f>(IF(OR(A149="DWF",A149="DNF"),0,QUOTIENT(Données_Planning!I147,60)))</f>
        <v>0</v>
      </c>
      <c r="R149" s="7" t="str">
        <f t="shared" si="23"/>
        <v>min</v>
      </c>
      <c r="S149" s="36">
        <f>(IF(OR(A149="DWF",A149="DNF"),Données_Planning!I147,MOD(Données_Planning!I147,60)))</f>
        <v>0</v>
      </c>
      <c r="T149" s="28" t="str">
        <f t="shared" si="24"/>
        <v>s</v>
      </c>
      <c r="U149" s="37">
        <f>(IF(OR(A149="DWF",A149="DNF"),0,QUOTIENT(Données_Planning!K147,60)))</f>
        <v>0</v>
      </c>
      <c r="V149" s="7" t="str">
        <f t="shared" si="25"/>
        <v>min</v>
      </c>
      <c r="W149" s="36">
        <f>(IF(OR(A149="DWF",A149="DNF"),Données_Planning!K147,MOD(Données_Planning!K147,60)))</f>
        <v>0</v>
      </c>
      <c r="X149" s="38" t="str">
        <f t="shared" si="26"/>
        <v>s</v>
      </c>
      <c r="Y149" s="42"/>
    </row>
    <row r="150" spans="1:25" ht="15.75" x14ac:dyDescent="0.25">
      <c r="A150" s="4">
        <f>Données_Planning!A148</f>
        <v>0</v>
      </c>
      <c r="B150" s="6">
        <f>Données_Planning!B148</f>
        <v>0</v>
      </c>
      <c r="C150" s="28">
        <f>Données_Planning!C148</f>
        <v>0</v>
      </c>
      <c r="D150" s="50">
        <f t="shared" si="18"/>
        <v>0</v>
      </c>
      <c r="E150" s="51">
        <f t="shared" si="19"/>
        <v>0</v>
      </c>
      <c r="F150" s="52">
        <f t="shared" si="20"/>
        <v>0</v>
      </c>
      <c r="G150" s="47">
        <f>Données_Planning!L148</f>
        <v>0</v>
      </c>
      <c r="H150" s="18">
        <f>Données_Planning!H148</f>
        <v>0</v>
      </c>
      <c r="I150" s="5">
        <f>Données_Planning!D148</f>
        <v>0</v>
      </c>
      <c r="J150" s="22">
        <f>Données_Planning!F148</f>
        <v>0</v>
      </c>
      <c r="K150" s="22">
        <f>Données_Planning!E148</f>
        <v>0</v>
      </c>
      <c r="L150" s="35">
        <f>Données_Planning!G148</f>
        <v>0</v>
      </c>
      <c r="M150" s="37">
        <f>(IF(OR(A150="DWF",A150="DNF"),0,QUOTIENT(Données_Planning!J148,60)))</f>
        <v>0</v>
      </c>
      <c r="N150" s="7" t="str">
        <f t="shared" si="21"/>
        <v>min</v>
      </c>
      <c r="O150" s="36">
        <f>(IF(OR(A150="DWF",A150="DNF"),Données_Planning!J148,MOD(Données_Planning!J148,60)))</f>
        <v>0</v>
      </c>
      <c r="P150" s="28" t="str">
        <f t="shared" si="22"/>
        <v>s</v>
      </c>
      <c r="Q150" s="37">
        <f>(IF(OR(A150="DWF",A150="DNF"),0,QUOTIENT(Données_Planning!I148,60)))</f>
        <v>0</v>
      </c>
      <c r="R150" s="7" t="str">
        <f t="shared" si="23"/>
        <v>min</v>
      </c>
      <c r="S150" s="36">
        <f>(IF(OR(A150="DWF",A150="DNF"),Données_Planning!I148,MOD(Données_Planning!I148,60)))</f>
        <v>0</v>
      </c>
      <c r="T150" s="28" t="str">
        <f t="shared" si="24"/>
        <v>s</v>
      </c>
      <c r="U150" s="37">
        <f>(IF(OR(A150="DWF",A150="DNF"),0,QUOTIENT(Données_Planning!K148,60)))</f>
        <v>0</v>
      </c>
      <c r="V150" s="7" t="str">
        <f t="shared" si="25"/>
        <v>min</v>
      </c>
      <c r="W150" s="36">
        <f>(IF(OR(A150="DWF",A150="DNF"),Données_Planning!K148,MOD(Données_Planning!K148,60)))</f>
        <v>0</v>
      </c>
      <c r="X150" s="38" t="str">
        <f t="shared" si="26"/>
        <v>s</v>
      </c>
      <c r="Y150" s="42"/>
    </row>
    <row r="151" spans="1:25" ht="15.75" x14ac:dyDescent="0.25">
      <c r="A151" s="4">
        <f>Données_Planning!A149</f>
        <v>0</v>
      </c>
      <c r="B151" s="6">
        <f>Données_Planning!B149</f>
        <v>0</v>
      </c>
      <c r="C151" s="28">
        <f>Données_Planning!C149</f>
        <v>0</v>
      </c>
      <c r="D151" s="50">
        <f t="shared" si="18"/>
        <v>0</v>
      </c>
      <c r="E151" s="51">
        <f t="shared" si="19"/>
        <v>0</v>
      </c>
      <c r="F151" s="52">
        <f t="shared" si="20"/>
        <v>0</v>
      </c>
      <c r="G151" s="47">
        <f>Données_Planning!L149</f>
        <v>0</v>
      </c>
      <c r="H151" s="18">
        <f>Données_Planning!H149</f>
        <v>0</v>
      </c>
      <c r="I151" s="5">
        <f>Données_Planning!D149</f>
        <v>0</v>
      </c>
      <c r="J151" s="22">
        <f>Données_Planning!F149</f>
        <v>0</v>
      </c>
      <c r="K151" s="22">
        <f>Données_Planning!E149</f>
        <v>0</v>
      </c>
      <c r="L151" s="35">
        <f>Données_Planning!G149</f>
        <v>0</v>
      </c>
      <c r="M151" s="37">
        <f>(IF(OR(A151="DWF",A151="DNF"),0,QUOTIENT(Données_Planning!J149,60)))</f>
        <v>0</v>
      </c>
      <c r="N151" s="7" t="str">
        <f t="shared" si="21"/>
        <v>min</v>
      </c>
      <c r="O151" s="36">
        <f>(IF(OR(A151="DWF",A151="DNF"),Données_Planning!J149,MOD(Données_Planning!J149,60)))</f>
        <v>0</v>
      </c>
      <c r="P151" s="28" t="str">
        <f t="shared" si="22"/>
        <v>s</v>
      </c>
      <c r="Q151" s="37">
        <f>(IF(OR(A151="DWF",A151="DNF"),0,QUOTIENT(Données_Planning!I149,60)))</f>
        <v>0</v>
      </c>
      <c r="R151" s="7" t="str">
        <f t="shared" si="23"/>
        <v>min</v>
      </c>
      <c r="S151" s="36">
        <f>(IF(OR(A151="DWF",A151="DNF"),Données_Planning!I149,MOD(Données_Planning!I149,60)))</f>
        <v>0</v>
      </c>
      <c r="T151" s="28" t="str">
        <f t="shared" si="24"/>
        <v>s</v>
      </c>
      <c r="U151" s="37">
        <f>(IF(OR(A151="DWF",A151="DNF"),0,QUOTIENT(Données_Planning!K149,60)))</f>
        <v>0</v>
      </c>
      <c r="V151" s="7" t="str">
        <f t="shared" si="25"/>
        <v>min</v>
      </c>
      <c r="W151" s="36">
        <f>(IF(OR(A151="DWF",A151="DNF"),Données_Planning!K149,MOD(Données_Planning!K149,60)))</f>
        <v>0</v>
      </c>
      <c r="X151" s="38" t="str">
        <f t="shared" si="26"/>
        <v>s</v>
      </c>
      <c r="Y151" s="42"/>
    </row>
    <row r="152" spans="1:25" ht="15.75" x14ac:dyDescent="0.25">
      <c r="A152" s="4">
        <f>Données_Planning!A150</f>
        <v>0</v>
      </c>
      <c r="B152" s="6">
        <f>Données_Planning!B150</f>
        <v>0</v>
      </c>
      <c r="C152" s="28">
        <f>Données_Planning!C150</f>
        <v>0</v>
      </c>
      <c r="D152" s="50">
        <f t="shared" si="18"/>
        <v>0</v>
      </c>
      <c r="E152" s="51">
        <f t="shared" si="19"/>
        <v>0</v>
      </c>
      <c r="F152" s="52">
        <f t="shared" si="20"/>
        <v>0</v>
      </c>
      <c r="G152" s="47">
        <f>Données_Planning!L150</f>
        <v>0</v>
      </c>
      <c r="H152" s="18">
        <f>Données_Planning!H150</f>
        <v>0</v>
      </c>
      <c r="I152" s="5">
        <f>Données_Planning!D150</f>
        <v>0</v>
      </c>
      <c r="J152" s="22">
        <f>Données_Planning!F150</f>
        <v>0</v>
      </c>
      <c r="K152" s="22">
        <f>Données_Planning!E150</f>
        <v>0</v>
      </c>
      <c r="L152" s="35">
        <f>Données_Planning!G150</f>
        <v>0</v>
      </c>
      <c r="M152" s="37">
        <f>(IF(OR(A152="DWF",A152="DNF"),0,QUOTIENT(Données_Planning!J150,60)))</f>
        <v>0</v>
      </c>
      <c r="N152" s="7" t="str">
        <f t="shared" si="21"/>
        <v>min</v>
      </c>
      <c r="O152" s="36">
        <f>(IF(OR(A152="DWF",A152="DNF"),Données_Planning!J150,MOD(Données_Planning!J150,60)))</f>
        <v>0</v>
      </c>
      <c r="P152" s="28" t="str">
        <f t="shared" si="22"/>
        <v>s</v>
      </c>
      <c r="Q152" s="37">
        <f>(IF(OR(A152="DWF",A152="DNF"),0,QUOTIENT(Données_Planning!I150,60)))</f>
        <v>0</v>
      </c>
      <c r="R152" s="7" t="str">
        <f t="shared" si="23"/>
        <v>min</v>
      </c>
      <c r="S152" s="36">
        <f>(IF(OR(A152="DWF",A152="DNF"),Données_Planning!I150,MOD(Données_Planning!I150,60)))</f>
        <v>0</v>
      </c>
      <c r="T152" s="28" t="str">
        <f t="shared" si="24"/>
        <v>s</v>
      </c>
      <c r="U152" s="37">
        <f>(IF(OR(A152="DWF",A152="DNF"),0,QUOTIENT(Données_Planning!K150,60)))</f>
        <v>0</v>
      </c>
      <c r="V152" s="7" t="str">
        <f t="shared" si="25"/>
        <v>min</v>
      </c>
      <c r="W152" s="36">
        <f>(IF(OR(A152="DWF",A152="DNF"),Données_Planning!K150,MOD(Données_Planning!K150,60)))</f>
        <v>0</v>
      </c>
      <c r="X152" s="38" t="str">
        <f t="shared" si="26"/>
        <v>s</v>
      </c>
      <c r="Y152" s="42"/>
    </row>
    <row r="153" spans="1:25" ht="15.75" x14ac:dyDescent="0.25">
      <c r="A153" s="4">
        <f>Données_Planning!A151</f>
        <v>0</v>
      </c>
      <c r="B153" s="6">
        <f>Données_Planning!B151</f>
        <v>0</v>
      </c>
      <c r="C153" s="28">
        <f>Données_Planning!C151</f>
        <v>0</v>
      </c>
      <c r="D153" s="50">
        <f t="shared" si="18"/>
        <v>0</v>
      </c>
      <c r="E153" s="51">
        <f t="shared" si="19"/>
        <v>0</v>
      </c>
      <c r="F153" s="52">
        <f t="shared" si="20"/>
        <v>0</v>
      </c>
      <c r="G153" s="47">
        <f>Données_Planning!L151</f>
        <v>0</v>
      </c>
      <c r="H153" s="18">
        <f>Données_Planning!H151</f>
        <v>0</v>
      </c>
      <c r="I153" s="5">
        <f>Données_Planning!D151</f>
        <v>0</v>
      </c>
      <c r="J153" s="22">
        <f>Données_Planning!F151</f>
        <v>0</v>
      </c>
      <c r="K153" s="22">
        <f>Données_Planning!E151</f>
        <v>0</v>
      </c>
      <c r="L153" s="35">
        <f>Données_Planning!G151</f>
        <v>0</v>
      </c>
      <c r="M153" s="37">
        <f>(IF(OR(A153="DWF",A153="DNF"),0,QUOTIENT(Données_Planning!J151,60)))</f>
        <v>0</v>
      </c>
      <c r="N153" s="7" t="str">
        <f t="shared" si="21"/>
        <v>min</v>
      </c>
      <c r="O153" s="36">
        <f>(IF(OR(A153="DWF",A153="DNF"),Données_Planning!J151,MOD(Données_Planning!J151,60)))</f>
        <v>0</v>
      </c>
      <c r="P153" s="28" t="str">
        <f t="shared" si="22"/>
        <v>s</v>
      </c>
      <c r="Q153" s="37">
        <f>(IF(OR(A153="DWF",A153="DNF"),0,QUOTIENT(Données_Planning!I151,60)))</f>
        <v>0</v>
      </c>
      <c r="R153" s="7" t="str">
        <f t="shared" si="23"/>
        <v>min</v>
      </c>
      <c r="S153" s="36">
        <f>(IF(OR(A153="DWF",A153="DNF"),Données_Planning!I151,MOD(Données_Planning!I151,60)))</f>
        <v>0</v>
      </c>
      <c r="T153" s="28" t="str">
        <f t="shared" si="24"/>
        <v>s</v>
      </c>
      <c r="U153" s="37">
        <f>(IF(OR(A153="DWF",A153="DNF"),0,QUOTIENT(Données_Planning!K151,60)))</f>
        <v>0</v>
      </c>
      <c r="V153" s="7" t="str">
        <f t="shared" si="25"/>
        <v>min</v>
      </c>
      <c r="W153" s="36">
        <f>(IF(OR(A153="DWF",A153="DNF"),Données_Planning!K151,MOD(Données_Planning!K151,60)))</f>
        <v>0</v>
      </c>
      <c r="X153" s="38" t="str">
        <f t="shared" si="26"/>
        <v>s</v>
      </c>
      <c r="Y153" s="42"/>
    </row>
    <row r="154" spans="1:25" ht="15.75" x14ac:dyDescent="0.25">
      <c r="A154" s="4">
        <f>Données_Planning!A152</f>
        <v>0</v>
      </c>
      <c r="B154" s="6">
        <f>Données_Planning!B152</f>
        <v>0</v>
      </c>
      <c r="C154" s="28">
        <f>Données_Planning!C152</f>
        <v>0</v>
      </c>
      <c r="D154" s="50">
        <f t="shared" si="18"/>
        <v>0</v>
      </c>
      <c r="E154" s="51">
        <f t="shared" si="19"/>
        <v>0</v>
      </c>
      <c r="F154" s="52">
        <f t="shared" si="20"/>
        <v>0</v>
      </c>
      <c r="G154" s="47">
        <f>Données_Planning!L152</f>
        <v>0</v>
      </c>
      <c r="H154" s="18">
        <f>Données_Planning!H152</f>
        <v>0</v>
      </c>
      <c r="I154" s="5">
        <f>Données_Planning!D152</f>
        <v>0</v>
      </c>
      <c r="J154" s="22">
        <f>Données_Planning!F152</f>
        <v>0</v>
      </c>
      <c r="K154" s="22">
        <f>Données_Planning!E152</f>
        <v>0</v>
      </c>
      <c r="L154" s="35">
        <f>Données_Planning!G152</f>
        <v>0</v>
      </c>
      <c r="M154" s="37">
        <f>(IF(OR(A154="DWF",A154="DNF"),0,QUOTIENT(Données_Planning!J152,60)))</f>
        <v>0</v>
      </c>
      <c r="N154" s="7" t="str">
        <f t="shared" si="21"/>
        <v>min</v>
      </c>
      <c r="O154" s="36">
        <f>(IF(OR(A154="DWF",A154="DNF"),Données_Planning!J152,MOD(Données_Planning!J152,60)))</f>
        <v>0</v>
      </c>
      <c r="P154" s="28" t="str">
        <f t="shared" si="22"/>
        <v>s</v>
      </c>
      <c r="Q154" s="37">
        <f>(IF(OR(A154="DWF",A154="DNF"),0,QUOTIENT(Données_Planning!I152,60)))</f>
        <v>0</v>
      </c>
      <c r="R154" s="7" t="str">
        <f t="shared" si="23"/>
        <v>min</v>
      </c>
      <c r="S154" s="36">
        <f>(IF(OR(A154="DWF",A154="DNF"),Données_Planning!I152,MOD(Données_Planning!I152,60)))</f>
        <v>0</v>
      </c>
      <c r="T154" s="28" t="str">
        <f t="shared" si="24"/>
        <v>s</v>
      </c>
      <c r="U154" s="37">
        <f>(IF(OR(A154="DWF",A154="DNF"),0,QUOTIENT(Données_Planning!K152,60)))</f>
        <v>0</v>
      </c>
      <c r="V154" s="7" t="str">
        <f t="shared" si="25"/>
        <v>min</v>
      </c>
      <c r="W154" s="36">
        <f>(IF(OR(A154="DWF",A154="DNF"),Données_Planning!K152,MOD(Données_Planning!K152,60)))</f>
        <v>0</v>
      </c>
      <c r="X154" s="38" t="str">
        <f t="shared" si="26"/>
        <v>s</v>
      </c>
      <c r="Y154" s="42"/>
    </row>
    <row r="155" spans="1:25" ht="15.75" x14ac:dyDescent="0.25">
      <c r="A155" s="4">
        <f>Données_Planning!A153</f>
        <v>0</v>
      </c>
      <c r="B155" s="6">
        <f>Données_Planning!B153</f>
        <v>0</v>
      </c>
      <c r="C155" s="28">
        <f>Données_Planning!C153</f>
        <v>0</v>
      </c>
      <c r="D155" s="50">
        <f t="shared" si="18"/>
        <v>0</v>
      </c>
      <c r="E155" s="51">
        <f t="shared" si="19"/>
        <v>0</v>
      </c>
      <c r="F155" s="52">
        <f t="shared" si="20"/>
        <v>0</v>
      </c>
      <c r="G155" s="47">
        <f>Données_Planning!L153</f>
        <v>0</v>
      </c>
      <c r="H155" s="18">
        <f>Données_Planning!H153</f>
        <v>0</v>
      </c>
      <c r="I155" s="5">
        <f>Données_Planning!D153</f>
        <v>0</v>
      </c>
      <c r="J155" s="22">
        <f>Données_Planning!F153</f>
        <v>0</v>
      </c>
      <c r="K155" s="22">
        <f>Données_Planning!E153</f>
        <v>0</v>
      </c>
      <c r="L155" s="35">
        <f>Données_Planning!G153</f>
        <v>0</v>
      </c>
      <c r="M155" s="37">
        <f>(IF(OR(A155="DWF",A155="DNF"),0,QUOTIENT(Données_Planning!J153,60)))</f>
        <v>0</v>
      </c>
      <c r="N155" s="7" t="str">
        <f t="shared" si="21"/>
        <v>min</v>
      </c>
      <c r="O155" s="36">
        <f>(IF(OR(A155="DWF",A155="DNF"),Données_Planning!J153,MOD(Données_Planning!J153,60)))</f>
        <v>0</v>
      </c>
      <c r="P155" s="28" t="str">
        <f t="shared" si="22"/>
        <v>s</v>
      </c>
      <c r="Q155" s="37">
        <f>(IF(OR(A155="DWF",A155="DNF"),0,QUOTIENT(Données_Planning!I153,60)))</f>
        <v>0</v>
      </c>
      <c r="R155" s="7" t="str">
        <f t="shared" si="23"/>
        <v>min</v>
      </c>
      <c r="S155" s="36">
        <f>(IF(OR(A155="DWF",A155="DNF"),Données_Planning!I153,MOD(Données_Planning!I153,60)))</f>
        <v>0</v>
      </c>
      <c r="T155" s="28" t="str">
        <f t="shared" si="24"/>
        <v>s</v>
      </c>
      <c r="U155" s="37">
        <f>(IF(OR(A155="DWF",A155="DNF"),0,QUOTIENT(Données_Planning!K153,60)))</f>
        <v>0</v>
      </c>
      <c r="V155" s="7" t="str">
        <f t="shared" si="25"/>
        <v>min</v>
      </c>
      <c r="W155" s="36">
        <f>(IF(OR(A155="DWF",A155="DNF"),Données_Planning!K153,MOD(Données_Planning!K153,60)))</f>
        <v>0</v>
      </c>
      <c r="X155" s="38" t="str">
        <f t="shared" si="26"/>
        <v>s</v>
      </c>
      <c r="Y155" s="42"/>
    </row>
    <row r="156" spans="1:25" ht="15.75" x14ac:dyDescent="0.25">
      <c r="A156" s="4">
        <f>Données_Planning!A154</f>
        <v>0</v>
      </c>
      <c r="B156" s="6">
        <f>Données_Planning!B154</f>
        <v>0</v>
      </c>
      <c r="C156" s="28">
        <f>Données_Planning!C154</f>
        <v>0</v>
      </c>
      <c r="D156" s="50">
        <f t="shared" si="18"/>
        <v>0</v>
      </c>
      <c r="E156" s="51">
        <f t="shared" si="19"/>
        <v>0</v>
      </c>
      <c r="F156" s="52">
        <f t="shared" si="20"/>
        <v>0</v>
      </c>
      <c r="G156" s="47">
        <f>Données_Planning!L154</f>
        <v>0</v>
      </c>
      <c r="H156" s="18">
        <f>Données_Planning!H154</f>
        <v>0</v>
      </c>
      <c r="I156" s="5">
        <f>Données_Planning!D154</f>
        <v>0</v>
      </c>
      <c r="J156" s="22">
        <f>Données_Planning!F154</f>
        <v>0</v>
      </c>
      <c r="K156" s="22">
        <f>Données_Planning!E154</f>
        <v>0</v>
      </c>
      <c r="L156" s="35">
        <f>Données_Planning!G154</f>
        <v>0</v>
      </c>
      <c r="M156" s="37">
        <f>(IF(OR(A156="DWF",A156="DNF"),0,QUOTIENT(Données_Planning!J154,60)))</f>
        <v>0</v>
      </c>
      <c r="N156" s="7" t="str">
        <f t="shared" si="21"/>
        <v>min</v>
      </c>
      <c r="O156" s="36">
        <f>(IF(OR(A156="DWF",A156="DNF"),Données_Planning!J154,MOD(Données_Planning!J154,60)))</f>
        <v>0</v>
      </c>
      <c r="P156" s="28" t="str">
        <f t="shared" si="22"/>
        <v>s</v>
      </c>
      <c r="Q156" s="37">
        <f>(IF(OR(A156="DWF",A156="DNF"),0,QUOTIENT(Données_Planning!I154,60)))</f>
        <v>0</v>
      </c>
      <c r="R156" s="7" t="str">
        <f t="shared" si="23"/>
        <v>min</v>
      </c>
      <c r="S156" s="36">
        <f>(IF(OR(A156="DWF",A156="DNF"),Données_Planning!I154,MOD(Données_Planning!I154,60)))</f>
        <v>0</v>
      </c>
      <c r="T156" s="28" t="str">
        <f t="shared" si="24"/>
        <v>s</v>
      </c>
      <c r="U156" s="37">
        <f>(IF(OR(A156="DWF",A156="DNF"),0,QUOTIENT(Données_Planning!K154,60)))</f>
        <v>0</v>
      </c>
      <c r="V156" s="7" t="str">
        <f t="shared" si="25"/>
        <v>min</v>
      </c>
      <c r="W156" s="36">
        <f>(IF(OR(A156="DWF",A156="DNF"),Données_Planning!K154,MOD(Données_Planning!K154,60)))</f>
        <v>0</v>
      </c>
      <c r="X156" s="38" t="str">
        <f t="shared" si="26"/>
        <v>s</v>
      </c>
      <c r="Y156" s="42"/>
    </row>
    <row r="157" spans="1:25" ht="15.75" x14ac:dyDescent="0.25">
      <c r="A157" s="4">
        <f>Données_Planning!A155</f>
        <v>0</v>
      </c>
      <c r="B157" s="6">
        <f>Données_Planning!B155</f>
        <v>0</v>
      </c>
      <c r="C157" s="28">
        <f>Données_Planning!C155</f>
        <v>0</v>
      </c>
      <c r="D157" s="50">
        <f t="shared" si="18"/>
        <v>0</v>
      </c>
      <c r="E157" s="51">
        <f t="shared" si="19"/>
        <v>0</v>
      </c>
      <c r="F157" s="52">
        <f t="shared" si="20"/>
        <v>0</v>
      </c>
      <c r="G157" s="47">
        <f>Données_Planning!L155</f>
        <v>0</v>
      </c>
      <c r="H157" s="18">
        <f>Données_Planning!H155</f>
        <v>0</v>
      </c>
      <c r="I157" s="5">
        <f>Données_Planning!D155</f>
        <v>0</v>
      </c>
      <c r="J157" s="22">
        <f>Données_Planning!F155</f>
        <v>0</v>
      </c>
      <c r="K157" s="22">
        <f>Données_Planning!E155</f>
        <v>0</v>
      </c>
      <c r="L157" s="35">
        <f>Données_Planning!G155</f>
        <v>0</v>
      </c>
      <c r="M157" s="37">
        <f>(IF(OR(A157="DWF",A157="DNF"),0,QUOTIENT(Données_Planning!J155,60)))</f>
        <v>0</v>
      </c>
      <c r="N157" s="7" t="str">
        <f t="shared" si="21"/>
        <v>min</v>
      </c>
      <c r="O157" s="36">
        <f>(IF(OR(A157="DWF",A157="DNF"),Données_Planning!J155,MOD(Données_Planning!J155,60)))</f>
        <v>0</v>
      </c>
      <c r="P157" s="28" t="str">
        <f t="shared" si="22"/>
        <v>s</v>
      </c>
      <c r="Q157" s="37">
        <f>(IF(OR(A157="DWF",A157="DNF"),0,QUOTIENT(Données_Planning!I155,60)))</f>
        <v>0</v>
      </c>
      <c r="R157" s="7" t="str">
        <f t="shared" si="23"/>
        <v>min</v>
      </c>
      <c r="S157" s="36">
        <f>(IF(OR(A157="DWF",A157="DNF"),Données_Planning!I155,MOD(Données_Planning!I155,60)))</f>
        <v>0</v>
      </c>
      <c r="T157" s="28" t="str">
        <f t="shared" si="24"/>
        <v>s</v>
      </c>
      <c r="U157" s="37">
        <f>(IF(OR(A157="DWF",A157="DNF"),0,QUOTIENT(Données_Planning!K155,60)))</f>
        <v>0</v>
      </c>
      <c r="V157" s="7" t="str">
        <f t="shared" si="25"/>
        <v>min</v>
      </c>
      <c r="W157" s="36">
        <f>(IF(OR(A157="DWF",A157="DNF"),Données_Planning!K155,MOD(Données_Planning!K155,60)))</f>
        <v>0</v>
      </c>
      <c r="X157" s="38" t="str">
        <f t="shared" si="26"/>
        <v>s</v>
      </c>
      <c r="Y157" s="42"/>
    </row>
    <row r="158" spans="1:25" ht="15.75" x14ac:dyDescent="0.25">
      <c r="A158" s="4">
        <f>Données_Planning!A156</f>
        <v>0</v>
      </c>
      <c r="B158" s="6">
        <f>Données_Planning!B156</f>
        <v>0</v>
      </c>
      <c r="C158" s="28">
        <f>Données_Planning!C156</f>
        <v>0</v>
      </c>
      <c r="D158" s="50">
        <f t="shared" si="18"/>
        <v>0</v>
      </c>
      <c r="E158" s="51">
        <f t="shared" si="19"/>
        <v>0</v>
      </c>
      <c r="F158" s="52">
        <f t="shared" si="20"/>
        <v>0</v>
      </c>
      <c r="G158" s="47">
        <f>Données_Planning!L156</f>
        <v>0</v>
      </c>
      <c r="H158" s="18">
        <f>Données_Planning!H156</f>
        <v>0</v>
      </c>
      <c r="I158" s="5">
        <f>Données_Planning!D156</f>
        <v>0</v>
      </c>
      <c r="J158" s="22">
        <f>Données_Planning!F156</f>
        <v>0</v>
      </c>
      <c r="K158" s="22">
        <f>Données_Planning!E156</f>
        <v>0</v>
      </c>
      <c r="L158" s="35">
        <f>Données_Planning!G156</f>
        <v>0</v>
      </c>
      <c r="M158" s="37">
        <f>(IF(OR(A158="DWF",A158="DNF"),0,QUOTIENT(Données_Planning!J156,60)))</f>
        <v>0</v>
      </c>
      <c r="N158" s="7" t="str">
        <f t="shared" si="21"/>
        <v>min</v>
      </c>
      <c r="O158" s="36">
        <f>(IF(OR(A158="DWF",A158="DNF"),Données_Planning!J156,MOD(Données_Planning!J156,60)))</f>
        <v>0</v>
      </c>
      <c r="P158" s="28" t="str">
        <f t="shared" si="22"/>
        <v>s</v>
      </c>
      <c r="Q158" s="37">
        <f>(IF(OR(A158="DWF",A158="DNF"),0,QUOTIENT(Données_Planning!I156,60)))</f>
        <v>0</v>
      </c>
      <c r="R158" s="7" t="str">
        <f t="shared" si="23"/>
        <v>min</v>
      </c>
      <c r="S158" s="36">
        <f>(IF(OR(A158="DWF",A158="DNF"),Données_Planning!I156,MOD(Données_Planning!I156,60)))</f>
        <v>0</v>
      </c>
      <c r="T158" s="28" t="str">
        <f t="shared" si="24"/>
        <v>s</v>
      </c>
      <c r="U158" s="37">
        <f>(IF(OR(A158="DWF",A158="DNF"),0,QUOTIENT(Données_Planning!K156,60)))</f>
        <v>0</v>
      </c>
      <c r="V158" s="7" t="str">
        <f t="shared" si="25"/>
        <v>min</v>
      </c>
      <c r="W158" s="36">
        <f>(IF(OR(A158="DWF",A158="DNF"),Données_Planning!K156,MOD(Données_Planning!K156,60)))</f>
        <v>0</v>
      </c>
      <c r="X158" s="38" t="str">
        <f t="shared" si="26"/>
        <v>s</v>
      </c>
      <c r="Y158" s="42"/>
    </row>
    <row r="159" spans="1:25" ht="15.75" x14ac:dyDescent="0.25">
      <c r="A159" s="4">
        <f>Données_Planning!A157</f>
        <v>0</v>
      </c>
      <c r="B159" s="6">
        <f>Données_Planning!B157</f>
        <v>0</v>
      </c>
      <c r="C159" s="28">
        <f>Données_Planning!C157</f>
        <v>0</v>
      </c>
      <c r="D159" s="50">
        <f t="shared" si="18"/>
        <v>0</v>
      </c>
      <c r="E159" s="51">
        <f t="shared" si="19"/>
        <v>0</v>
      </c>
      <c r="F159" s="52">
        <f t="shared" si="20"/>
        <v>0</v>
      </c>
      <c r="G159" s="47">
        <f>Données_Planning!L157</f>
        <v>0</v>
      </c>
      <c r="H159" s="18">
        <f>Données_Planning!H157</f>
        <v>0</v>
      </c>
      <c r="I159" s="5">
        <f>Données_Planning!D157</f>
        <v>0</v>
      </c>
      <c r="J159" s="22">
        <f>Données_Planning!F157</f>
        <v>0</v>
      </c>
      <c r="K159" s="22">
        <f>Données_Planning!E157</f>
        <v>0</v>
      </c>
      <c r="L159" s="35">
        <f>Données_Planning!G157</f>
        <v>0</v>
      </c>
      <c r="M159" s="37">
        <f>(IF(OR(A159="DWF",A159="DNF"),0,QUOTIENT(Données_Planning!J157,60)))</f>
        <v>0</v>
      </c>
      <c r="N159" s="7" t="str">
        <f t="shared" si="21"/>
        <v>min</v>
      </c>
      <c r="O159" s="36">
        <f>(IF(OR(A159="DWF",A159="DNF"),Données_Planning!J157,MOD(Données_Planning!J157,60)))</f>
        <v>0</v>
      </c>
      <c r="P159" s="28" t="str">
        <f t="shared" si="22"/>
        <v>s</v>
      </c>
      <c r="Q159" s="37">
        <f>(IF(OR(A159="DWF",A159="DNF"),0,QUOTIENT(Données_Planning!I157,60)))</f>
        <v>0</v>
      </c>
      <c r="R159" s="7" t="str">
        <f t="shared" si="23"/>
        <v>min</v>
      </c>
      <c r="S159" s="36">
        <f>(IF(OR(A159="DWF",A159="DNF"),Données_Planning!I157,MOD(Données_Planning!I157,60)))</f>
        <v>0</v>
      </c>
      <c r="T159" s="28" t="str">
        <f t="shared" si="24"/>
        <v>s</v>
      </c>
      <c r="U159" s="37">
        <f>(IF(OR(A159="DWF",A159="DNF"),0,QUOTIENT(Données_Planning!K157,60)))</f>
        <v>0</v>
      </c>
      <c r="V159" s="7" t="str">
        <f t="shared" si="25"/>
        <v>min</v>
      </c>
      <c r="W159" s="36">
        <f>(IF(OR(A159="DWF",A159="DNF"),Données_Planning!K157,MOD(Données_Planning!K157,60)))</f>
        <v>0</v>
      </c>
      <c r="X159" s="38" t="str">
        <f t="shared" si="26"/>
        <v>s</v>
      </c>
      <c r="Y159" s="42"/>
    </row>
    <row r="160" spans="1:25" ht="15.75" x14ac:dyDescent="0.25">
      <c r="A160" s="4">
        <f>Données_Planning!A158</f>
        <v>0</v>
      </c>
      <c r="B160" s="6">
        <f>Données_Planning!B158</f>
        <v>0</v>
      </c>
      <c r="C160" s="28">
        <f>Données_Planning!C158</f>
        <v>0</v>
      </c>
      <c r="D160" s="50">
        <f t="shared" si="18"/>
        <v>0</v>
      </c>
      <c r="E160" s="51">
        <f t="shared" si="19"/>
        <v>0</v>
      </c>
      <c r="F160" s="52">
        <f t="shared" si="20"/>
        <v>0</v>
      </c>
      <c r="G160" s="47">
        <f>Données_Planning!L158</f>
        <v>0</v>
      </c>
      <c r="H160" s="18">
        <f>Données_Planning!H158</f>
        <v>0</v>
      </c>
      <c r="I160" s="5">
        <f>Données_Planning!D158</f>
        <v>0</v>
      </c>
      <c r="J160" s="22">
        <f>Données_Planning!F158</f>
        <v>0</v>
      </c>
      <c r="K160" s="22">
        <f>Données_Planning!E158</f>
        <v>0</v>
      </c>
      <c r="L160" s="35">
        <f>Données_Planning!G158</f>
        <v>0</v>
      </c>
      <c r="M160" s="37">
        <f>(IF(OR(A160="DWF",A160="DNF"),0,QUOTIENT(Données_Planning!J158,60)))</f>
        <v>0</v>
      </c>
      <c r="N160" s="7" t="str">
        <f t="shared" si="21"/>
        <v>min</v>
      </c>
      <c r="O160" s="36">
        <f>(IF(OR(A160="DWF",A160="DNF"),Données_Planning!J158,MOD(Données_Planning!J158,60)))</f>
        <v>0</v>
      </c>
      <c r="P160" s="28" t="str">
        <f t="shared" si="22"/>
        <v>s</v>
      </c>
      <c r="Q160" s="37">
        <f>(IF(OR(A160="DWF",A160="DNF"),0,QUOTIENT(Données_Planning!I158,60)))</f>
        <v>0</v>
      </c>
      <c r="R160" s="7" t="str">
        <f t="shared" si="23"/>
        <v>min</v>
      </c>
      <c r="S160" s="36">
        <f>(IF(OR(A160="DWF",A160="DNF"),Données_Planning!I158,MOD(Données_Planning!I158,60)))</f>
        <v>0</v>
      </c>
      <c r="T160" s="28" t="str">
        <f t="shared" si="24"/>
        <v>s</v>
      </c>
      <c r="U160" s="37">
        <f>(IF(OR(A160="DWF",A160="DNF"),0,QUOTIENT(Données_Planning!K158,60)))</f>
        <v>0</v>
      </c>
      <c r="V160" s="7" t="str">
        <f t="shared" si="25"/>
        <v>min</v>
      </c>
      <c r="W160" s="36">
        <f>(IF(OR(A160="DWF",A160="DNF"),Données_Planning!K158,MOD(Données_Planning!K158,60)))</f>
        <v>0</v>
      </c>
      <c r="X160" s="38" t="str">
        <f t="shared" si="26"/>
        <v>s</v>
      </c>
      <c r="Y160" s="42"/>
    </row>
    <row r="161" spans="1:25" ht="15.75" x14ac:dyDescent="0.25">
      <c r="A161" s="4">
        <f>Données_Planning!A159</f>
        <v>0</v>
      </c>
      <c r="B161" s="6">
        <f>Données_Planning!B159</f>
        <v>0</v>
      </c>
      <c r="C161" s="28">
        <f>Données_Planning!C159</f>
        <v>0</v>
      </c>
      <c r="D161" s="50">
        <f t="shared" si="18"/>
        <v>0</v>
      </c>
      <c r="E161" s="51">
        <f t="shared" si="19"/>
        <v>0</v>
      </c>
      <c r="F161" s="52">
        <f t="shared" si="20"/>
        <v>0</v>
      </c>
      <c r="G161" s="47">
        <f>Données_Planning!L159</f>
        <v>0</v>
      </c>
      <c r="H161" s="18">
        <f>Données_Planning!H159</f>
        <v>0</v>
      </c>
      <c r="I161" s="5">
        <f>Données_Planning!D159</f>
        <v>0</v>
      </c>
      <c r="J161" s="22">
        <f>Données_Planning!F159</f>
        <v>0</v>
      </c>
      <c r="K161" s="22">
        <f>Données_Planning!E159</f>
        <v>0</v>
      </c>
      <c r="L161" s="35">
        <f>Données_Planning!G159</f>
        <v>0</v>
      </c>
      <c r="M161" s="37">
        <f>(IF(OR(A161="DWF",A161="DNF"),0,QUOTIENT(Données_Planning!J159,60)))</f>
        <v>0</v>
      </c>
      <c r="N161" s="7" t="str">
        <f t="shared" si="21"/>
        <v>min</v>
      </c>
      <c r="O161" s="36">
        <f>(IF(OR(A161="DWF",A161="DNF"),Données_Planning!J159,MOD(Données_Planning!J159,60)))</f>
        <v>0</v>
      </c>
      <c r="P161" s="28" t="str">
        <f t="shared" si="22"/>
        <v>s</v>
      </c>
      <c r="Q161" s="37">
        <f>(IF(OR(A161="DWF",A161="DNF"),0,QUOTIENT(Données_Planning!I159,60)))</f>
        <v>0</v>
      </c>
      <c r="R161" s="7" t="str">
        <f t="shared" si="23"/>
        <v>min</v>
      </c>
      <c r="S161" s="36">
        <f>(IF(OR(A161="DWF",A161="DNF"),Données_Planning!I159,MOD(Données_Planning!I159,60)))</f>
        <v>0</v>
      </c>
      <c r="T161" s="28" t="str">
        <f t="shared" si="24"/>
        <v>s</v>
      </c>
      <c r="U161" s="37">
        <f>(IF(OR(A161="DWF",A161="DNF"),0,QUOTIENT(Données_Planning!K159,60)))</f>
        <v>0</v>
      </c>
      <c r="V161" s="7" t="str">
        <f t="shared" si="25"/>
        <v>min</v>
      </c>
      <c r="W161" s="36">
        <f>(IF(OR(A161="DWF",A161="DNF"),Données_Planning!K159,MOD(Données_Planning!K159,60)))</f>
        <v>0</v>
      </c>
      <c r="X161" s="38" t="str">
        <f t="shared" si="26"/>
        <v>s</v>
      </c>
      <c r="Y161" s="42"/>
    </row>
    <row r="162" spans="1:25" ht="15.75" x14ac:dyDescent="0.25">
      <c r="A162" s="4">
        <f>Données_Planning!A160</f>
        <v>0</v>
      </c>
      <c r="B162" s="6">
        <f>Données_Planning!B160</f>
        <v>0</v>
      </c>
      <c r="C162" s="28">
        <f>Données_Planning!C160</f>
        <v>0</v>
      </c>
      <c r="D162" s="50">
        <f t="shared" si="18"/>
        <v>0</v>
      </c>
      <c r="E162" s="51">
        <f t="shared" si="19"/>
        <v>0</v>
      </c>
      <c r="F162" s="52">
        <f t="shared" si="20"/>
        <v>0</v>
      </c>
      <c r="G162" s="47">
        <f>Données_Planning!L160</f>
        <v>0</v>
      </c>
      <c r="H162" s="18">
        <f>Données_Planning!H160</f>
        <v>0</v>
      </c>
      <c r="I162" s="5">
        <f>Données_Planning!D160</f>
        <v>0</v>
      </c>
      <c r="J162" s="22">
        <f>Données_Planning!F160</f>
        <v>0</v>
      </c>
      <c r="K162" s="22">
        <f>Données_Planning!E160</f>
        <v>0</v>
      </c>
      <c r="L162" s="35">
        <f>Données_Planning!G160</f>
        <v>0</v>
      </c>
      <c r="M162" s="37">
        <f>(IF(OR(A162="DWF",A162="DNF"),0,QUOTIENT(Données_Planning!J160,60)))</f>
        <v>0</v>
      </c>
      <c r="N162" s="7" t="str">
        <f t="shared" si="21"/>
        <v>min</v>
      </c>
      <c r="O162" s="36">
        <f>(IF(OR(A162="DWF",A162="DNF"),Données_Planning!J160,MOD(Données_Planning!J160,60)))</f>
        <v>0</v>
      </c>
      <c r="P162" s="28" t="str">
        <f t="shared" si="22"/>
        <v>s</v>
      </c>
      <c r="Q162" s="37">
        <f>(IF(OR(A162="DWF",A162="DNF"),0,QUOTIENT(Données_Planning!I160,60)))</f>
        <v>0</v>
      </c>
      <c r="R162" s="7" t="str">
        <f t="shared" si="23"/>
        <v>min</v>
      </c>
      <c r="S162" s="36">
        <f>(IF(OR(A162="DWF",A162="DNF"),Données_Planning!I160,MOD(Données_Planning!I160,60)))</f>
        <v>0</v>
      </c>
      <c r="T162" s="28" t="str">
        <f t="shared" si="24"/>
        <v>s</v>
      </c>
      <c r="U162" s="37">
        <f>(IF(OR(A162="DWF",A162="DNF"),0,QUOTIENT(Données_Planning!K160,60)))</f>
        <v>0</v>
      </c>
      <c r="V162" s="7" t="str">
        <f t="shared" si="25"/>
        <v>min</v>
      </c>
      <c r="W162" s="36">
        <f>(IF(OR(A162="DWF",A162="DNF"),Données_Planning!K160,MOD(Données_Planning!K160,60)))</f>
        <v>0</v>
      </c>
      <c r="X162" s="38" t="str">
        <f t="shared" si="26"/>
        <v>s</v>
      </c>
      <c r="Y162" s="42"/>
    </row>
    <row r="163" spans="1:25" ht="15.75" x14ac:dyDescent="0.25">
      <c r="A163" s="4">
        <f>Données_Planning!A161</f>
        <v>0</v>
      </c>
      <c r="B163" s="6">
        <f>Données_Planning!B161</f>
        <v>0</v>
      </c>
      <c r="C163" s="28">
        <f>Données_Planning!C161</f>
        <v>0</v>
      </c>
      <c r="D163" s="50">
        <f t="shared" si="18"/>
        <v>0</v>
      </c>
      <c r="E163" s="51">
        <f t="shared" si="19"/>
        <v>0</v>
      </c>
      <c r="F163" s="52">
        <f t="shared" si="20"/>
        <v>0</v>
      </c>
      <c r="G163" s="47">
        <f>Données_Planning!L161</f>
        <v>0</v>
      </c>
      <c r="H163" s="18">
        <f>Données_Planning!H161</f>
        <v>0</v>
      </c>
      <c r="I163" s="5">
        <f>Données_Planning!D161</f>
        <v>0</v>
      </c>
      <c r="J163" s="22">
        <f>Données_Planning!F161</f>
        <v>0</v>
      </c>
      <c r="K163" s="22">
        <f>Données_Planning!E161</f>
        <v>0</v>
      </c>
      <c r="L163" s="35">
        <f>Données_Planning!G161</f>
        <v>0</v>
      </c>
      <c r="M163" s="37">
        <f>(IF(OR(A163="DWF",A163="DNF"),0,QUOTIENT(Données_Planning!J161,60)))</f>
        <v>0</v>
      </c>
      <c r="N163" s="7" t="str">
        <f t="shared" si="21"/>
        <v>min</v>
      </c>
      <c r="O163" s="36">
        <f>(IF(OR(A163="DWF",A163="DNF"),Données_Planning!J161,MOD(Données_Planning!J161,60)))</f>
        <v>0</v>
      </c>
      <c r="P163" s="28" t="str">
        <f t="shared" si="22"/>
        <v>s</v>
      </c>
      <c r="Q163" s="37">
        <f>(IF(OR(A163="DWF",A163="DNF"),0,QUOTIENT(Données_Planning!I161,60)))</f>
        <v>0</v>
      </c>
      <c r="R163" s="7" t="str">
        <f t="shared" si="23"/>
        <v>min</v>
      </c>
      <c r="S163" s="36">
        <f>(IF(OR(A163="DWF",A163="DNF"),Données_Planning!I161,MOD(Données_Planning!I161,60)))</f>
        <v>0</v>
      </c>
      <c r="T163" s="28" t="str">
        <f t="shared" si="24"/>
        <v>s</v>
      </c>
      <c r="U163" s="37">
        <f>(IF(OR(A163="DWF",A163="DNF"),0,QUOTIENT(Données_Planning!K161,60)))</f>
        <v>0</v>
      </c>
      <c r="V163" s="7" t="str">
        <f t="shared" si="25"/>
        <v>min</v>
      </c>
      <c r="W163" s="36">
        <f>(IF(OR(A163="DWF",A163="DNF"),Données_Planning!K161,MOD(Données_Planning!K161,60)))</f>
        <v>0</v>
      </c>
      <c r="X163" s="38" t="str">
        <f t="shared" si="26"/>
        <v>s</v>
      </c>
      <c r="Y163" s="42"/>
    </row>
    <row r="164" spans="1:25" ht="15.75" x14ac:dyDescent="0.25">
      <c r="A164" s="4">
        <f>Données_Planning!A162</f>
        <v>0</v>
      </c>
      <c r="B164" s="6">
        <f>Données_Planning!B162</f>
        <v>0</v>
      </c>
      <c r="C164" s="28">
        <f>Données_Planning!C162</f>
        <v>0</v>
      </c>
      <c r="D164" s="50">
        <f t="shared" si="18"/>
        <v>0</v>
      </c>
      <c r="E164" s="51">
        <f t="shared" si="19"/>
        <v>0</v>
      </c>
      <c r="F164" s="52">
        <f t="shared" si="20"/>
        <v>0</v>
      </c>
      <c r="G164" s="47">
        <f>Données_Planning!L162</f>
        <v>0</v>
      </c>
      <c r="H164" s="18">
        <f>Données_Planning!H162</f>
        <v>0</v>
      </c>
      <c r="I164" s="5">
        <f>Données_Planning!D162</f>
        <v>0</v>
      </c>
      <c r="J164" s="22">
        <f>Données_Planning!F162</f>
        <v>0</v>
      </c>
      <c r="K164" s="22">
        <f>Données_Planning!E162</f>
        <v>0</v>
      </c>
      <c r="L164" s="35">
        <f>Données_Planning!G162</f>
        <v>0</v>
      </c>
      <c r="M164" s="37">
        <f>(IF(OR(A164="DWF",A164="DNF"),0,QUOTIENT(Données_Planning!J162,60)))</f>
        <v>0</v>
      </c>
      <c r="N164" s="7" t="str">
        <f t="shared" si="21"/>
        <v>min</v>
      </c>
      <c r="O164" s="36">
        <f>(IF(OR(A164="DWF",A164="DNF"),Données_Planning!J162,MOD(Données_Planning!J162,60)))</f>
        <v>0</v>
      </c>
      <c r="P164" s="28" t="str">
        <f t="shared" si="22"/>
        <v>s</v>
      </c>
      <c r="Q164" s="37">
        <f>(IF(OR(A164="DWF",A164="DNF"),0,QUOTIENT(Données_Planning!I162,60)))</f>
        <v>0</v>
      </c>
      <c r="R164" s="7" t="str">
        <f t="shared" si="23"/>
        <v>min</v>
      </c>
      <c r="S164" s="36">
        <f>(IF(OR(A164="DWF",A164="DNF"),Données_Planning!I162,MOD(Données_Planning!I162,60)))</f>
        <v>0</v>
      </c>
      <c r="T164" s="28" t="str">
        <f t="shared" si="24"/>
        <v>s</v>
      </c>
      <c r="U164" s="37">
        <f>(IF(OR(A164="DWF",A164="DNF"),0,QUOTIENT(Données_Planning!K162,60)))</f>
        <v>0</v>
      </c>
      <c r="V164" s="7" t="str">
        <f t="shared" si="25"/>
        <v>min</v>
      </c>
      <c r="W164" s="36">
        <f>(IF(OR(A164="DWF",A164="DNF"),Données_Planning!K162,MOD(Données_Planning!K162,60)))</f>
        <v>0</v>
      </c>
      <c r="X164" s="38" t="str">
        <f t="shared" si="26"/>
        <v>s</v>
      </c>
      <c r="Y164" s="42"/>
    </row>
    <row r="165" spans="1:25" ht="15.75" x14ac:dyDescent="0.25">
      <c r="A165" s="4">
        <f>Données_Planning!A163</f>
        <v>0</v>
      </c>
      <c r="B165" s="6">
        <f>Données_Planning!B163</f>
        <v>0</v>
      </c>
      <c r="C165" s="28">
        <f>Données_Planning!C163</f>
        <v>0</v>
      </c>
      <c r="D165" s="50">
        <f t="shared" si="18"/>
        <v>0</v>
      </c>
      <c r="E165" s="51">
        <f t="shared" si="19"/>
        <v>0</v>
      </c>
      <c r="F165" s="52">
        <f t="shared" si="20"/>
        <v>0</v>
      </c>
      <c r="G165" s="47">
        <f>Données_Planning!L163</f>
        <v>0</v>
      </c>
      <c r="H165" s="18">
        <f>Données_Planning!H163</f>
        <v>0</v>
      </c>
      <c r="I165" s="5">
        <f>Données_Planning!D163</f>
        <v>0</v>
      </c>
      <c r="J165" s="22">
        <f>Données_Planning!F163</f>
        <v>0</v>
      </c>
      <c r="K165" s="22">
        <f>Données_Planning!E163</f>
        <v>0</v>
      </c>
      <c r="L165" s="35">
        <f>Données_Planning!G163</f>
        <v>0</v>
      </c>
      <c r="M165" s="37">
        <f>(IF(OR(A165="DWF",A165="DNF"),0,QUOTIENT(Données_Planning!J163,60)))</f>
        <v>0</v>
      </c>
      <c r="N165" s="7" t="str">
        <f t="shared" si="21"/>
        <v>min</v>
      </c>
      <c r="O165" s="36">
        <f>(IF(OR(A165="DWF",A165="DNF"),Données_Planning!J163,MOD(Données_Planning!J163,60)))</f>
        <v>0</v>
      </c>
      <c r="P165" s="28" t="str">
        <f t="shared" si="22"/>
        <v>s</v>
      </c>
      <c r="Q165" s="37">
        <f>(IF(OR(A165="DWF",A165="DNF"),0,QUOTIENT(Données_Planning!I163,60)))</f>
        <v>0</v>
      </c>
      <c r="R165" s="7" t="str">
        <f t="shared" si="23"/>
        <v>min</v>
      </c>
      <c r="S165" s="36">
        <f>(IF(OR(A165="DWF",A165="DNF"),Données_Planning!I163,MOD(Données_Planning!I163,60)))</f>
        <v>0</v>
      </c>
      <c r="T165" s="28" t="str">
        <f t="shared" si="24"/>
        <v>s</v>
      </c>
      <c r="U165" s="37">
        <f>(IF(OR(A165="DWF",A165="DNF"),0,QUOTIENT(Données_Planning!K163,60)))</f>
        <v>0</v>
      </c>
      <c r="V165" s="7" t="str">
        <f t="shared" si="25"/>
        <v>min</v>
      </c>
      <c r="W165" s="36">
        <f>(IF(OR(A165="DWF",A165="DNF"),Données_Planning!K163,MOD(Données_Planning!K163,60)))</f>
        <v>0</v>
      </c>
      <c r="X165" s="38" t="str">
        <f t="shared" si="26"/>
        <v>s</v>
      </c>
      <c r="Y165" s="42"/>
    </row>
    <row r="166" spans="1:25" ht="15.75" x14ac:dyDescent="0.25">
      <c r="A166" s="4">
        <f>Données_Planning!A164</f>
        <v>0</v>
      </c>
      <c r="B166" s="6">
        <f>Données_Planning!B164</f>
        <v>0</v>
      </c>
      <c r="C166" s="28">
        <f>Données_Planning!C164</f>
        <v>0</v>
      </c>
      <c r="D166" s="50">
        <f t="shared" si="18"/>
        <v>0</v>
      </c>
      <c r="E166" s="51">
        <f t="shared" si="19"/>
        <v>0</v>
      </c>
      <c r="F166" s="52">
        <f t="shared" si="20"/>
        <v>0</v>
      </c>
      <c r="G166" s="47">
        <f>Données_Planning!L164</f>
        <v>0</v>
      </c>
      <c r="H166" s="18">
        <f>Données_Planning!H164</f>
        <v>0</v>
      </c>
      <c r="I166" s="5">
        <f>Données_Planning!D164</f>
        <v>0</v>
      </c>
      <c r="J166" s="22">
        <f>Données_Planning!F164</f>
        <v>0</v>
      </c>
      <c r="K166" s="22">
        <f>Données_Planning!E164</f>
        <v>0</v>
      </c>
      <c r="L166" s="35">
        <f>Données_Planning!G164</f>
        <v>0</v>
      </c>
      <c r="M166" s="37">
        <f>(IF(OR(A166="DWF",A166="DNF"),0,QUOTIENT(Données_Planning!J164,60)))</f>
        <v>0</v>
      </c>
      <c r="N166" s="7" t="str">
        <f t="shared" si="21"/>
        <v>min</v>
      </c>
      <c r="O166" s="36">
        <f>(IF(OR(A166="DWF",A166="DNF"),Données_Planning!J164,MOD(Données_Planning!J164,60)))</f>
        <v>0</v>
      </c>
      <c r="P166" s="28" t="str">
        <f t="shared" si="22"/>
        <v>s</v>
      </c>
      <c r="Q166" s="37">
        <f>(IF(OR(A166="DWF",A166="DNF"),0,QUOTIENT(Données_Planning!I164,60)))</f>
        <v>0</v>
      </c>
      <c r="R166" s="7" t="str">
        <f t="shared" si="23"/>
        <v>min</v>
      </c>
      <c r="S166" s="36">
        <f>(IF(OR(A166="DWF",A166="DNF"),Données_Planning!I164,MOD(Données_Planning!I164,60)))</f>
        <v>0</v>
      </c>
      <c r="T166" s="28" t="str">
        <f t="shared" si="24"/>
        <v>s</v>
      </c>
      <c r="U166" s="37">
        <f>(IF(OR(A166="DWF",A166="DNF"),0,QUOTIENT(Données_Planning!K164,60)))</f>
        <v>0</v>
      </c>
      <c r="V166" s="7" t="str">
        <f t="shared" si="25"/>
        <v>min</v>
      </c>
      <c r="W166" s="36">
        <f>(IF(OR(A166="DWF",A166="DNF"),Données_Planning!K164,MOD(Données_Planning!K164,60)))</f>
        <v>0</v>
      </c>
      <c r="X166" s="38" t="str">
        <f t="shared" si="26"/>
        <v>s</v>
      </c>
      <c r="Y166" s="42"/>
    </row>
    <row r="167" spans="1:25" ht="15.75" x14ac:dyDescent="0.25">
      <c r="A167" s="4">
        <f>Données_Planning!A165</f>
        <v>0</v>
      </c>
      <c r="B167" s="6">
        <f>Données_Planning!B165</f>
        <v>0</v>
      </c>
      <c r="C167" s="28">
        <f>Données_Planning!C165</f>
        <v>0</v>
      </c>
      <c r="D167" s="50">
        <f t="shared" si="18"/>
        <v>0</v>
      </c>
      <c r="E167" s="51">
        <f t="shared" si="19"/>
        <v>0</v>
      </c>
      <c r="F167" s="52">
        <f t="shared" si="20"/>
        <v>0</v>
      </c>
      <c r="G167" s="47">
        <f>Données_Planning!L165</f>
        <v>0</v>
      </c>
      <c r="H167" s="18">
        <f>Données_Planning!H165</f>
        <v>0</v>
      </c>
      <c r="I167" s="5">
        <f>Données_Planning!D165</f>
        <v>0</v>
      </c>
      <c r="J167" s="22">
        <f>Données_Planning!F165</f>
        <v>0</v>
      </c>
      <c r="K167" s="22">
        <f>Données_Planning!E165</f>
        <v>0</v>
      </c>
      <c r="L167" s="35">
        <f>Données_Planning!G165</f>
        <v>0</v>
      </c>
      <c r="M167" s="37">
        <f>(IF(OR(A167="DWF",A167="DNF"),0,QUOTIENT(Données_Planning!J165,60)))</f>
        <v>0</v>
      </c>
      <c r="N167" s="7" t="str">
        <f t="shared" si="21"/>
        <v>min</v>
      </c>
      <c r="O167" s="36">
        <f>(IF(OR(A167="DWF",A167="DNF"),Données_Planning!J165,MOD(Données_Planning!J165,60)))</f>
        <v>0</v>
      </c>
      <c r="P167" s="28" t="str">
        <f t="shared" si="22"/>
        <v>s</v>
      </c>
      <c r="Q167" s="37">
        <f>(IF(OR(A167="DWF",A167="DNF"),0,QUOTIENT(Données_Planning!I165,60)))</f>
        <v>0</v>
      </c>
      <c r="R167" s="7" t="str">
        <f t="shared" si="23"/>
        <v>min</v>
      </c>
      <c r="S167" s="36">
        <f>(IF(OR(A167="DWF",A167="DNF"),Données_Planning!I165,MOD(Données_Planning!I165,60)))</f>
        <v>0</v>
      </c>
      <c r="T167" s="28" t="str">
        <f t="shared" si="24"/>
        <v>s</v>
      </c>
      <c r="U167" s="37">
        <f>(IF(OR(A167="DWF",A167="DNF"),0,QUOTIENT(Données_Planning!K165,60)))</f>
        <v>0</v>
      </c>
      <c r="V167" s="7" t="str">
        <f t="shared" si="25"/>
        <v>min</v>
      </c>
      <c r="W167" s="36">
        <f>(IF(OR(A167="DWF",A167="DNF"),Données_Planning!K165,MOD(Données_Planning!K165,60)))</f>
        <v>0</v>
      </c>
      <c r="X167" s="38" t="str">
        <f t="shared" si="26"/>
        <v>s</v>
      </c>
      <c r="Y167" s="42"/>
    </row>
    <row r="168" spans="1:25" ht="15.75" x14ac:dyDescent="0.25">
      <c r="A168" s="4">
        <f>Données_Planning!A166</f>
        <v>0</v>
      </c>
      <c r="B168" s="6">
        <f>Données_Planning!B166</f>
        <v>0</v>
      </c>
      <c r="C168" s="28">
        <f>Données_Planning!C166</f>
        <v>0</v>
      </c>
      <c r="D168" s="50">
        <f t="shared" si="18"/>
        <v>0</v>
      </c>
      <c r="E168" s="51">
        <f t="shared" si="19"/>
        <v>0</v>
      </c>
      <c r="F168" s="52">
        <f t="shared" si="20"/>
        <v>0</v>
      </c>
      <c r="G168" s="47">
        <f>Données_Planning!L166</f>
        <v>0</v>
      </c>
      <c r="H168" s="18">
        <f>Données_Planning!H166</f>
        <v>0</v>
      </c>
      <c r="I168" s="5">
        <f>Données_Planning!D166</f>
        <v>0</v>
      </c>
      <c r="J168" s="22">
        <f>Données_Planning!F166</f>
        <v>0</v>
      </c>
      <c r="K168" s="22">
        <f>Données_Planning!E166</f>
        <v>0</v>
      </c>
      <c r="L168" s="35">
        <f>Données_Planning!G166</f>
        <v>0</v>
      </c>
      <c r="M168" s="37">
        <f>(IF(OR(A168="DWF",A168="DNF"),0,QUOTIENT(Données_Planning!J166,60)))</f>
        <v>0</v>
      </c>
      <c r="N168" s="7" t="str">
        <f t="shared" si="21"/>
        <v>min</v>
      </c>
      <c r="O168" s="36">
        <f>(IF(OR(A168="DWF",A168="DNF"),Données_Planning!J166,MOD(Données_Planning!J166,60)))</f>
        <v>0</v>
      </c>
      <c r="P168" s="28" t="str">
        <f t="shared" si="22"/>
        <v>s</v>
      </c>
      <c r="Q168" s="37">
        <f>(IF(OR(A168="DWF",A168="DNF"),0,QUOTIENT(Données_Planning!I166,60)))</f>
        <v>0</v>
      </c>
      <c r="R168" s="7" t="str">
        <f t="shared" si="23"/>
        <v>min</v>
      </c>
      <c r="S168" s="36">
        <f>(IF(OR(A168="DWF",A168="DNF"),Données_Planning!I166,MOD(Données_Planning!I166,60)))</f>
        <v>0</v>
      </c>
      <c r="T168" s="28" t="str">
        <f t="shared" si="24"/>
        <v>s</v>
      </c>
      <c r="U168" s="37">
        <f>(IF(OR(A168="DWF",A168="DNF"),0,QUOTIENT(Données_Planning!K166,60)))</f>
        <v>0</v>
      </c>
      <c r="V168" s="7" t="str">
        <f t="shared" si="25"/>
        <v>min</v>
      </c>
      <c r="W168" s="36">
        <f>(IF(OR(A168="DWF",A168="DNF"),Données_Planning!K166,MOD(Données_Planning!K166,60)))</f>
        <v>0</v>
      </c>
      <c r="X168" s="38" t="str">
        <f t="shared" si="26"/>
        <v>s</v>
      </c>
      <c r="Y168" s="42"/>
    </row>
    <row r="169" spans="1:25" ht="15.75" x14ac:dyDescent="0.25">
      <c r="A169" s="4">
        <f>Données_Planning!A167</f>
        <v>0</v>
      </c>
      <c r="B169" s="6">
        <f>Données_Planning!B167</f>
        <v>0</v>
      </c>
      <c r="C169" s="28">
        <f>Données_Planning!C167</f>
        <v>0</v>
      </c>
      <c r="D169" s="50">
        <f t="shared" si="18"/>
        <v>0</v>
      </c>
      <c r="E169" s="51">
        <f t="shared" si="19"/>
        <v>0</v>
      </c>
      <c r="F169" s="52">
        <f t="shared" si="20"/>
        <v>0</v>
      </c>
      <c r="G169" s="47">
        <f>Données_Planning!L167</f>
        <v>0</v>
      </c>
      <c r="H169" s="18">
        <f>Données_Planning!H167</f>
        <v>0</v>
      </c>
      <c r="I169" s="5">
        <f>Données_Planning!D167</f>
        <v>0</v>
      </c>
      <c r="J169" s="22">
        <f>Données_Planning!F167</f>
        <v>0</v>
      </c>
      <c r="K169" s="22">
        <f>Données_Planning!E167</f>
        <v>0</v>
      </c>
      <c r="L169" s="35">
        <f>Données_Planning!G167</f>
        <v>0</v>
      </c>
      <c r="M169" s="37">
        <f>(IF(OR(A169="DWF",A169="DNF"),0,QUOTIENT(Données_Planning!J167,60)))</f>
        <v>0</v>
      </c>
      <c r="N169" s="7" t="str">
        <f t="shared" si="21"/>
        <v>min</v>
      </c>
      <c r="O169" s="36">
        <f>(IF(OR(A169="DWF",A169="DNF"),Données_Planning!J167,MOD(Données_Planning!J167,60)))</f>
        <v>0</v>
      </c>
      <c r="P169" s="28" t="str">
        <f t="shared" si="22"/>
        <v>s</v>
      </c>
      <c r="Q169" s="37">
        <f>(IF(OR(A169="DWF",A169="DNF"),0,QUOTIENT(Données_Planning!I167,60)))</f>
        <v>0</v>
      </c>
      <c r="R169" s="7" t="str">
        <f t="shared" si="23"/>
        <v>min</v>
      </c>
      <c r="S169" s="36">
        <f>(IF(OR(A169="DWF",A169="DNF"),Données_Planning!I167,MOD(Données_Planning!I167,60)))</f>
        <v>0</v>
      </c>
      <c r="T169" s="28" t="str">
        <f t="shared" si="24"/>
        <v>s</v>
      </c>
      <c r="U169" s="37">
        <f>(IF(OR(A169="DWF",A169="DNF"),0,QUOTIENT(Données_Planning!K167,60)))</f>
        <v>0</v>
      </c>
      <c r="V169" s="7" t="str">
        <f t="shared" si="25"/>
        <v>min</v>
      </c>
      <c r="W169" s="36">
        <f>(IF(OR(A169="DWF",A169="DNF"),Données_Planning!K167,MOD(Données_Planning!K167,60)))</f>
        <v>0</v>
      </c>
      <c r="X169" s="38" t="str">
        <f t="shared" si="26"/>
        <v>s</v>
      </c>
      <c r="Y169" s="42"/>
    </row>
    <row r="170" spans="1:25" ht="15.75" x14ac:dyDescent="0.25">
      <c r="A170" s="4">
        <f>Données_Planning!A168</f>
        <v>0</v>
      </c>
      <c r="B170" s="6">
        <f>Données_Planning!B168</f>
        <v>0</v>
      </c>
      <c r="C170" s="28">
        <f>Données_Planning!C168</f>
        <v>0</v>
      </c>
      <c r="D170" s="50">
        <f t="shared" si="18"/>
        <v>0</v>
      </c>
      <c r="E170" s="51">
        <f t="shared" si="19"/>
        <v>0</v>
      </c>
      <c r="F170" s="52">
        <f t="shared" si="20"/>
        <v>0</v>
      </c>
      <c r="G170" s="47">
        <f>Données_Planning!L168</f>
        <v>0</v>
      </c>
      <c r="H170" s="18">
        <f>Données_Planning!H168</f>
        <v>0</v>
      </c>
      <c r="I170" s="5">
        <f>Données_Planning!D168</f>
        <v>0</v>
      </c>
      <c r="J170" s="22">
        <f>Données_Planning!F168</f>
        <v>0</v>
      </c>
      <c r="K170" s="22">
        <f>Données_Planning!E168</f>
        <v>0</v>
      </c>
      <c r="L170" s="35">
        <f>Données_Planning!G168</f>
        <v>0</v>
      </c>
      <c r="M170" s="37">
        <f>(IF(OR(A170="DWF",A170="DNF"),0,QUOTIENT(Données_Planning!J168,60)))</f>
        <v>0</v>
      </c>
      <c r="N170" s="7" t="str">
        <f t="shared" si="21"/>
        <v>min</v>
      </c>
      <c r="O170" s="36">
        <f>(IF(OR(A170="DWF",A170="DNF"),Données_Planning!J168,MOD(Données_Planning!J168,60)))</f>
        <v>0</v>
      </c>
      <c r="P170" s="28" t="str">
        <f t="shared" si="22"/>
        <v>s</v>
      </c>
      <c r="Q170" s="37">
        <f>(IF(OR(A170="DWF",A170="DNF"),0,QUOTIENT(Données_Planning!I168,60)))</f>
        <v>0</v>
      </c>
      <c r="R170" s="7" t="str">
        <f t="shared" si="23"/>
        <v>min</v>
      </c>
      <c r="S170" s="36">
        <f>(IF(OR(A170="DWF",A170="DNF"),Données_Planning!I168,MOD(Données_Planning!I168,60)))</f>
        <v>0</v>
      </c>
      <c r="T170" s="28" t="str">
        <f t="shared" si="24"/>
        <v>s</v>
      </c>
      <c r="U170" s="37">
        <f>(IF(OR(A170="DWF",A170="DNF"),0,QUOTIENT(Données_Planning!K168,60)))</f>
        <v>0</v>
      </c>
      <c r="V170" s="7" t="str">
        <f t="shared" si="25"/>
        <v>min</v>
      </c>
      <c r="W170" s="36">
        <f>(IF(OR(A170="DWF",A170="DNF"),Données_Planning!K168,MOD(Données_Planning!K168,60)))</f>
        <v>0</v>
      </c>
      <c r="X170" s="38" t="str">
        <f t="shared" si="26"/>
        <v>s</v>
      </c>
      <c r="Y170" s="42"/>
    </row>
    <row r="171" spans="1:25" ht="15.75" x14ac:dyDescent="0.25">
      <c r="A171" s="4">
        <f>Données_Planning!A169</f>
        <v>0</v>
      </c>
      <c r="B171" s="6">
        <f>Données_Planning!B169</f>
        <v>0</v>
      </c>
      <c r="C171" s="28">
        <f>Données_Planning!C169</f>
        <v>0</v>
      </c>
      <c r="D171" s="50">
        <f t="shared" si="18"/>
        <v>0</v>
      </c>
      <c r="E171" s="51">
        <f t="shared" si="19"/>
        <v>0</v>
      </c>
      <c r="F171" s="52">
        <f t="shared" si="20"/>
        <v>0</v>
      </c>
      <c r="G171" s="47">
        <f>Données_Planning!L169</f>
        <v>0</v>
      </c>
      <c r="H171" s="18">
        <f>Données_Planning!H169</f>
        <v>0</v>
      </c>
      <c r="I171" s="5">
        <f>Données_Planning!D169</f>
        <v>0</v>
      </c>
      <c r="J171" s="22">
        <f>Données_Planning!F169</f>
        <v>0</v>
      </c>
      <c r="K171" s="22">
        <f>Données_Planning!E169</f>
        <v>0</v>
      </c>
      <c r="L171" s="35">
        <f>Données_Planning!G169</f>
        <v>0</v>
      </c>
      <c r="M171" s="37">
        <f>(IF(OR(A171="DWF",A171="DNF"),0,QUOTIENT(Données_Planning!J169,60)))</f>
        <v>0</v>
      </c>
      <c r="N171" s="7" t="str">
        <f t="shared" si="21"/>
        <v>min</v>
      </c>
      <c r="O171" s="36">
        <f>(IF(OR(A171="DWF",A171="DNF"),Données_Planning!J169,MOD(Données_Planning!J169,60)))</f>
        <v>0</v>
      </c>
      <c r="P171" s="28" t="str">
        <f t="shared" si="22"/>
        <v>s</v>
      </c>
      <c r="Q171" s="37">
        <f>(IF(OR(A171="DWF",A171="DNF"),0,QUOTIENT(Données_Planning!I169,60)))</f>
        <v>0</v>
      </c>
      <c r="R171" s="7" t="str">
        <f t="shared" si="23"/>
        <v>min</v>
      </c>
      <c r="S171" s="36">
        <f>(IF(OR(A171="DWF",A171="DNF"),Données_Planning!I169,MOD(Données_Planning!I169,60)))</f>
        <v>0</v>
      </c>
      <c r="T171" s="28" t="str">
        <f t="shared" si="24"/>
        <v>s</v>
      </c>
      <c r="U171" s="37">
        <f>(IF(OR(A171="DWF",A171="DNF"),0,QUOTIENT(Données_Planning!K169,60)))</f>
        <v>0</v>
      </c>
      <c r="V171" s="7" t="str">
        <f t="shared" si="25"/>
        <v>min</v>
      </c>
      <c r="W171" s="36">
        <f>(IF(OR(A171="DWF",A171="DNF"),Données_Planning!K169,MOD(Données_Planning!K169,60)))</f>
        <v>0</v>
      </c>
      <c r="X171" s="38" t="str">
        <f t="shared" si="26"/>
        <v>s</v>
      </c>
      <c r="Y171" s="42"/>
    </row>
    <row r="172" spans="1:25" ht="15.75" x14ac:dyDescent="0.25">
      <c r="A172" s="4">
        <f>Données_Planning!A170</f>
        <v>0</v>
      </c>
      <c r="B172" s="6">
        <f>Données_Planning!B170</f>
        <v>0</v>
      </c>
      <c r="C172" s="28">
        <f>Données_Planning!C170</f>
        <v>0</v>
      </c>
      <c r="D172" s="50">
        <f t="shared" si="18"/>
        <v>0</v>
      </c>
      <c r="E172" s="51">
        <f t="shared" si="19"/>
        <v>0</v>
      </c>
      <c r="F172" s="52">
        <f t="shared" si="20"/>
        <v>0</v>
      </c>
      <c r="G172" s="47">
        <f>Données_Planning!L170</f>
        <v>0</v>
      </c>
      <c r="H172" s="18">
        <f>Données_Planning!H170</f>
        <v>0</v>
      </c>
      <c r="I172" s="5">
        <f>Données_Planning!D170</f>
        <v>0</v>
      </c>
      <c r="J172" s="22">
        <f>Données_Planning!F170</f>
        <v>0</v>
      </c>
      <c r="K172" s="22">
        <f>Données_Planning!E170</f>
        <v>0</v>
      </c>
      <c r="L172" s="35">
        <f>Données_Planning!G170</f>
        <v>0</v>
      </c>
      <c r="M172" s="37">
        <f>(IF(OR(A172="DWF",A172="DNF"),0,QUOTIENT(Données_Planning!J170,60)))</f>
        <v>0</v>
      </c>
      <c r="N172" s="7" t="str">
        <f t="shared" si="21"/>
        <v>min</v>
      </c>
      <c r="O172" s="36">
        <f>(IF(OR(A172="DWF",A172="DNF"),Données_Planning!J170,MOD(Données_Planning!J170,60)))</f>
        <v>0</v>
      </c>
      <c r="P172" s="28" t="str">
        <f t="shared" si="22"/>
        <v>s</v>
      </c>
      <c r="Q172" s="37">
        <f>(IF(OR(A172="DWF",A172="DNF"),0,QUOTIENT(Données_Planning!I170,60)))</f>
        <v>0</v>
      </c>
      <c r="R172" s="7" t="str">
        <f t="shared" si="23"/>
        <v>min</v>
      </c>
      <c r="S172" s="36">
        <f>(IF(OR(A172="DWF",A172="DNF"),Données_Planning!I170,MOD(Données_Planning!I170,60)))</f>
        <v>0</v>
      </c>
      <c r="T172" s="28" t="str">
        <f t="shared" si="24"/>
        <v>s</v>
      </c>
      <c r="U172" s="37">
        <f>(IF(OR(A172="DWF",A172="DNF"),0,QUOTIENT(Données_Planning!K170,60)))</f>
        <v>0</v>
      </c>
      <c r="V172" s="7" t="str">
        <f t="shared" si="25"/>
        <v>min</v>
      </c>
      <c r="W172" s="36">
        <f>(IF(OR(A172="DWF",A172="DNF"),Données_Planning!K170,MOD(Données_Planning!K170,60)))</f>
        <v>0</v>
      </c>
      <c r="X172" s="38" t="str">
        <f t="shared" si="26"/>
        <v>s</v>
      </c>
      <c r="Y172" s="42"/>
    </row>
    <row r="173" spans="1:25" ht="15.75" x14ac:dyDescent="0.25">
      <c r="A173" s="4">
        <f>Données_Planning!A171</f>
        <v>0</v>
      </c>
      <c r="B173" s="6">
        <f>Données_Planning!B171</f>
        <v>0</v>
      </c>
      <c r="C173" s="28">
        <f>Données_Planning!C171</f>
        <v>0</v>
      </c>
      <c r="D173" s="50">
        <f t="shared" si="18"/>
        <v>0</v>
      </c>
      <c r="E173" s="51">
        <f t="shared" si="19"/>
        <v>0</v>
      </c>
      <c r="F173" s="52">
        <f t="shared" si="20"/>
        <v>0</v>
      </c>
      <c r="G173" s="47">
        <f>Données_Planning!L171</f>
        <v>0</v>
      </c>
      <c r="H173" s="18">
        <f>Données_Planning!H171</f>
        <v>0</v>
      </c>
      <c r="I173" s="5">
        <f>Données_Planning!D171</f>
        <v>0</v>
      </c>
      <c r="J173" s="22">
        <f>Données_Planning!F171</f>
        <v>0</v>
      </c>
      <c r="K173" s="22">
        <f>Données_Planning!E171</f>
        <v>0</v>
      </c>
      <c r="L173" s="35">
        <f>Données_Planning!G171</f>
        <v>0</v>
      </c>
      <c r="M173" s="37">
        <f>(IF(OR(A173="DWF",A173="DNF"),0,QUOTIENT(Données_Planning!J171,60)))</f>
        <v>0</v>
      </c>
      <c r="N173" s="7" t="str">
        <f t="shared" si="21"/>
        <v>min</v>
      </c>
      <c r="O173" s="36">
        <f>(IF(OR(A173="DWF",A173="DNF"),Données_Planning!J171,MOD(Données_Planning!J171,60)))</f>
        <v>0</v>
      </c>
      <c r="P173" s="28" t="str">
        <f t="shared" si="22"/>
        <v>s</v>
      </c>
      <c r="Q173" s="37">
        <f>(IF(OR(A173="DWF",A173="DNF"),0,QUOTIENT(Données_Planning!I171,60)))</f>
        <v>0</v>
      </c>
      <c r="R173" s="7" t="str">
        <f t="shared" si="23"/>
        <v>min</v>
      </c>
      <c r="S173" s="36">
        <f>(IF(OR(A173="DWF",A173="DNF"),Données_Planning!I171,MOD(Données_Planning!I171,60)))</f>
        <v>0</v>
      </c>
      <c r="T173" s="28" t="str">
        <f t="shared" si="24"/>
        <v>s</v>
      </c>
      <c r="U173" s="37">
        <f>(IF(OR(A173="DWF",A173="DNF"),0,QUOTIENT(Données_Planning!K171,60)))</f>
        <v>0</v>
      </c>
      <c r="V173" s="7" t="str">
        <f t="shared" si="25"/>
        <v>min</v>
      </c>
      <c r="W173" s="36">
        <f>(IF(OR(A173="DWF",A173="DNF"),Données_Planning!K171,MOD(Données_Planning!K171,60)))</f>
        <v>0</v>
      </c>
      <c r="X173" s="38" t="str">
        <f t="shared" si="26"/>
        <v>s</v>
      </c>
      <c r="Y173" s="42"/>
    </row>
    <row r="174" spans="1:25" ht="15.75" x14ac:dyDescent="0.25">
      <c r="A174" s="4">
        <f>Données_Planning!A172</f>
        <v>0</v>
      </c>
      <c r="B174" s="6">
        <f>Données_Planning!B172</f>
        <v>0</v>
      </c>
      <c r="C174" s="28">
        <f>Données_Planning!C172</f>
        <v>0</v>
      </c>
      <c r="D174" s="50">
        <f t="shared" si="18"/>
        <v>0</v>
      </c>
      <c r="E174" s="51">
        <f t="shared" si="19"/>
        <v>0</v>
      </c>
      <c r="F174" s="52">
        <f t="shared" si="20"/>
        <v>0</v>
      </c>
      <c r="G174" s="47">
        <f>Données_Planning!L172</f>
        <v>0</v>
      </c>
      <c r="H174" s="18">
        <f>Données_Planning!H172</f>
        <v>0</v>
      </c>
      <c r="I174" s="5">
        <f>Données_Planning!D172</f>
        <v>0</v>
      </c>
      <c r="J174" s="22">
        <f>Données_Planning!F172</f>
        <v>0</v>
      </c>
      <c r="K174" s="22">
        <f>Données_Planning!E172</f>
        <v>0</v>
      </c>
      <c r="L174" s="35">
        <f>Données_Planning!G172</f>
        <v>0</v>
      </c>
      <c r="M174" s="37">
        <f>(IF(OR(A174="DWF",A174="DNF"),0,QUOTIENT(Données_Planning!J172,60)))</f>
        <v>0</v>
      </c>
      <c r="N174" s="7" t="str">
        <f t="shared" si="21"/>
        <v>min</v>
      </c>
      <c r="O174" s="36">
        <f>(IF(OR(A174="DWF",A174="DNF"),Données_Planning!J172,MOD(Données_Planning!J172,60)))</f>
        <v>0</v>
      </c>
      <c r="P174" s="28" t="str">
        <f t="shared" si="22"/>
        <v>s</v>
      </c>
      <c r="Q174" s="37">
        <f>(IF(OR(A174="DWF",A174="DNF"),0,QUOTIENT(Données_Planning!I172,60)))</f>
        <v>0</v>
      </c>
      <c r="R174" s="7" t="str">
        <f t="shared" si="23"/>
        <v>min</v>
      </c>
      <c r="S174" s="36">
        <f>(IF(OR(A174="DWF",A174="DNF"),Données_Planning!I172,MOD(Données_Planning!I172,60)))</f>
        <v>0</v>
      </c>
      <c r="T174" s="28" t="str">
        <f t="shared" si="24"/>
        <v>s</v>
      </c>
      <c r="U174" s="37">
        <f>(IF(OR(A174="DWF",A174="DNF"),0,QUOTIENT(Données_Planning!K172,60)))</f>
        <v>0</v>
      </c>
      <c r="V174" s="7" t="str">
        <f t="shared" si="25"/>
        <v>min</v>
      </c>
      <c r="W174" s="36">
        <f>(IF(OR(A174="DWF",A174="DNF"),Données_Planning!K172,MOD(Données_Planning!K172,60)))</f>
        <v>0</v>
      </c>
      <c r="X174" s="38" t="str">
        <f t="shared" si="26"/>
        <v>s</v>
      </c>
      <c r="Y174" s="42"/>
    </row>
    <row r="175" spans="1:25" ht="15.75" x14ac:dyDescent="0.25">
      <c r="A175" s="4">
        <f>Données_Planning!A173</f>
        <v>0</v>
      </c>
      <c r="B175" s="6">
        <f>Données_Planning!B173</f>
        <v>0</v>
      </c>
      <c r="C175" s="28">
        <f>Données_Planning!C173</f>
        <v>0</v>
      </c>
      <c r="D175" s="50">
        <f t="shared" si="18"/>
        <v>0</v>
      </c>
      <c r="E175" s="51">
        <f t="shared" si="19"/>
        <v>0</v>
      </c>
      <c r="F175" s="52">
        <f t="shared" si="20"/>
        <v>0</v>
      </c>
      <c r="G175" s="47">
        <f>Données_Planning!L173</f>
        <v>0</v>
      </c>
      <c r="H175" s="18">
        <f>Données_Planning!H173</f>
        <v>0</v>
      </c>
      <c r="I175" s="5">
        <f>Données_Planning!D173</f>
        <v>0</v>
      </c>
      <c r="J175" s="22">
        <f>Données_Planning!F173</f>
        <v>0</v>
      </c>
      <c r="K175" s="22">
        <f>Données_Planning!E173</f>
        <v>0</v>
      </c>
      <c r="L175" s="35">
        <f>Données_Planning!G173</f>
        <v>0</v>
      </c>
      <c r="M175" s="37">
        <f>(IF(OR(A175="DWF",A175="DNF"),0,QUOTIENT(Données_Planning!J173,60)))</f>
        <v>0</v>
      </c>
      <c r="N175" s="7" t="str">
        <f t="shared" si="21"/>
        <v>min</v>
      </c>
      <c r="O175" s="36">
        <f>(IF(OR(A175="DWF",A175="DNF"),Données_Planning!J173,MOD(Données_Planning!J173,60)))</f>
        <v>0</v>
      </c>
      <c r="P175" s="28" t="str">
        <f t="shared" si="22"/>
        <v>s</v>
      </c>
      <c r="Q175" s="37">
        <f>(IF(OR(A175="DWF",A175="DNF"),0,QUOTIENT(Données_Planning!I173,60)))</f>
        <v>0</v>
      </c>
      <c r="R175" s="7" t="str">
        <f t="shared" si="23"/>
        <v>min</v>
      </c>
      <c r="S175" s="36">
        <f>(IF(OR(A175="DWF",A175="DNF"),Données_Planning!I173,MOD(Données_Planning!I173,60)))</f>
        <v>0</v>
      </c>
      <c r="T175" s="28" t="str">
        <f t="shared" si="24"/>
        <v>s</v>
      </c>
      <c r="U175" s="37">
        <f>(IF(OR(A175="DWF",A175="DNF"),0,QUOTIENT(Données_Planning!K173,60)))</f>
        <v>0</v>
      </c>
      <c r="V175" s="7" t="str">
        <f t="shared" si="25"/>
        <v>min</v>
      </c>
      <c r="W175" s="36">
        <f>(IF(OR(A175="DWF",A175="DNF"),Données_Planning!K173,MOD(Données_Planning!K173,60)))</f>
        <v>0</v>
      </c>
      <c r="X175" s="38" t="str">
        <f t="shared" si="26"/>
        <v>s</v>
      </c>
      <c r="Y175" s="42"/>
    </row>
    <row r="176" spans="1:25" ht="15.75" x14ac:dyDescent="0.25">
      <c r="A176" s="4">
        <f>Données_Planning!A174</f>
        <v>0</v>
      </c>
      <c r="B176" s="6">
        <f>Données_Planning!B174</f>
        <v>0</v>
      </c>
      <c r="C176" s="28">
        <f>Données_Planning!C174</f>
        <v>0</v>
      </c>
      <c r="D176" s="50">
        <f t="shared" si="18"/>
        <v>0</v>
      </c>
      <c r="E176" s="51">
        <f t="shared" si="19"/>
        <v>0</v>
      </c>
      <c r="F176" s="52">
        <f t="shared" si="20"/>
        <v>0</v>
      </c>
      <c r="G176" s="47">
        <f>Données_Planning!L174</f>
        <v>0</v>
      </c>
      <c r="H176" s="18">
        <f>Données_Planning!H174</f>
        <v>0</v>
      </c>
      <c r="I176" s="5">
        <f>Données_Planning!D174</f>
        <v>0</v>
      </c>
      <c r="J176" s="22">
        <f>Données_Planning!F174</f>
        <v>0</v>
      </c>
      <c r="K176" s="22">
        <f>Données_Planning!E174</f>
        <v>0</v>
      </c>
      <c r="L176" s="35">
        <f>Données_Planning!G174</f>
        <v>0</v>
      </c>
      <c r="M176" s="37">
        <f>(IF(OR(A176="DWF",A176="DNF"),0,QUOTIENT(Données_Planning!J174,60)))</f>
        <v>0</v>
      </c>
      <c r="N176" s="7" t="str">
        <f t="shared" si="21"/>
        <v>min</v>
      </c>
      <c r="O176" s="36">
        <f>(IF(OR(A176="DWF",A176="DNF"),Données_Planning!J174,MOD(Données_Planning!J174,60)))</f>
        <v>0</v>
      </c>
      <c r="P176" s="28" t="str">
        <f t="shared" si="22"/>
        <v>s</v>
      </c>
      <c r="Q176" s="37">
        <f>(IF(OR(A176="DWF",A176="DNF"),0,QUOTIENT(Données_Planning!I174,60)))</f>
        <v>0</v>
      </c>
      <c r="R176" s="7" t="str">
        <f t="shared" si="23"/>
        <v>min</v>
      </c>
      <c r="S176" s="36">
        <f>(IF(OR(A176="DWF",A176="DNF"),Données_Planning!I174,MOD(Données_Planning!I174,60)))</f>
        <v>0</v>
      </c>
      <c r="T176" s="28" t="str">
        <f t="shared" si="24"/>
        <v>s</v>
      </c>
      <c r="U176" s="37">
        <f>(IF(OR(A176="DWF",A176="DNF"),0,QUOTIENT(Données_Planning!K174,60)))</f>
        <v>0</v>
      </c>
      <c r="V176" s="7" t="str">
        <f t="shared" si="25"/>
        <v>min</v>
      </c>
      <c r="W176" s="36">
        <f>(IF(OR(A176="DWF",A176="DNF"),Données_Planning!K174,MOD(Données_Planning!K174,60)))</f>
        <v>0</v>
      </c>
      <c r="X176" s="38" t="str">
        <f t="shared" si="26"/>
        <v>s</v>
      </c>
      <c r="Y176" s="42"/>
    </row>
    <row r="177" spans="1:25" ht="15.75" x14ac:dyDescent="0.25">
      <c r="A177" s="4">
        <f>Données_Planning!A175</f>
        <v>0</v>
      </c>
      <c r="B177" s="6">
        <f>Données_Planning!B175</f>
        <v>0</v>
      </c>
      <c r="C177" s="28">
        <f>Données_Planning!C175</f>
        <v>0</v>
      </c>
      <c r="D177" s="50">
        <f t="shared" si="18"/>
        <v>0</v>
      </c>
      <c r="E177" s="51">
        <f t="shared" si="19"/>
        <v>0</v>
      </c>
      <c r="F177" s="52">
        <f t="shared" si="20"/>
        <v>0</v>
      </c>
      <c r="G177" s="47">
        <f>Données_Planning!L175</f>
        <v>0</v>
      </c>
      <c r="H177" s="18">
        <f>Données_Planning!H175</f>
        <v>0</v>
      </c>
      <c r="I177" s="5">
        <f>Données_Planning!D175</f>
        <v>0</v>
      </c>
      <c r="J177" s="22">
        <f>Données_Planning!F175</f>
        <v>0</v>
      </c>
      <c r="K177" s="22">
        <f>Données_Planning!E175</f>
        <v>0</v>
      </c>
      <c r="L177" s="35">
        <f>Données_Planning!G175</f>
        <v>0</v>
      </c>
      <c r="M177" s="37">
        <f>(IF(OR(A177="DWF",A177="DNF"),0,QUOTIENT(Données_Planning!J175,60)))</f>
        <v>0</v>
      </c>
      <c r="N177" s="7" t="str">
        <f t="shared" si="21"/>
        <v>min</v>
      </c>
      <c r="O177" s="36">
        <f>(IF(OR(A177="DWF",A177="DNF"),Données_Planning!J175,MOD(Données_Planning!J175,60)))</f>
        <v>0</v>
      </c>
      <c r="P177" s="28" t="str">
        <f t="shared" si="22"/>
        <v>s</v>
      </c>
      <c r="Q177" s="37">
        <f>(IF(OR(A177="DWF",A177="DNF"),0,QUOTIENT(Données_Planning!I175,60)))</f>
        <v>0</v>
      </c>
      <c r="R177" s="7" t="str">
        <f t="shared" si="23"/>
        <v>min</v>
      </c>
      <c r="S177" s="36">
        <f>(IF(OR(A177="DWF",A177="DNF"),Données_Planning!I175,MOD(Données_Planning!I175,60)))</f>
        <v>0</v>
      </c>
      <c r="T177" s="28" t="str">
        <f t="shared" si="24"/>
        <v>s</v>
      </c>
      <c r="U177" s="37">
        <f>(IF(OR(A177="DWF",A177="DNF"),0,QUOTIENT(Données_Planning!K175,60)))</f>
        <v>0</v>
      </c>
      <c r="V177" s="7" t="str">
        <f t="shared" si="25"/>
        <v>min</v>
      </c>
      <c r="W177" s="36">
        <f>(IF(OR(A177="DWF",A177="DNF"),Données_Planning!K175,MOD(Données_Planning!K175,60)))</f>
        <v>0</v>
      </c>
      <c r="X177" s="38" t="str">
        <f t="shared" si="26"/>
        <v>s</v>
      </c>
      <c r="Y177" s="42"/>
    </row>
    <row r="178" spans="1:25" ht="15.75" x14ac:dyDescent="0.25">
      <c r="A178" s="4">
        <f>Données_Planning!A176</f>
        <v>0</v>
      </c>
      <c r="B178" s="6">
        <f>Données_Planning!B176</f>
        <v>0</v>
      </c>
      <c r="C178" s="28">
        <f>Données_Planning!C176</f>
        <v>0</v>
      </c>
      <c r="D178" s="50">
        <f t="shared" si="18"/>
        <v>0</v>
      </c>
      <c r="E178" s="51">
        <f t="shared" si="19"/>
        <v>0</v>
      </c>
      <c r="F178" s="52">
        <f t="shared" si="20"/>
        <v>0</v>
      </c>
      <c r="G178" s="47">
        <f>Données_Planning!L176</f>
        <v>0</v>
      </c>
      <c r="H178" s="18">
        <f>Données_Planning!H176</f>
        <v>0</v>
      </c>
      <c r="I178" s="5">
        <f>Données_Planning!D176</f>
        <v>0</v>
      </c>
      <c r="J178" s="22">
        <f>Données_Planning!F176</f>
        <v>0</v>
      </c>
      <c r="K178" s="22">
        <f>Données_Planning!E176</f>
        <v>0</v>
      </c>
      <c r="L178" s="35">
        <f>Données_Planning!G176</f>
        <v>0</v>
      </c>
      <c r="M178" s="37">
        <f>(IF(OR(A178="DWF",A178="DNF"),0,QUOTIENT(Données_Planning!J176,60)))</f>
        <v>0</v>
      </c>
      <c r="N178" s="7" t="str">
        <f t="shared" si="21"/>
        <v>min</v>
      </c>
      <c r="O178" s="36">
        <f>(IF(OR(A178="DWF",A178="DNF"),Données_Planning!J176,MOD(Données_Planning!J176,60)))</f>
        <v>0</v>
      </c>
      <c r="P178" s="28" t="str">
        <f t="shared" si="22"/>
        <v>s</v>
      </c>
      <c r="Q178" s="37">
        <f>(IF(OR(A178="DWF",A178="DNF"),0,QUOTIENT(Données_Planning!I176,60)))</f>
        <v>0</v>
      </c>
      <c r="R178" s="7" t="str">
        <f t="shared" si="23"/>
        <v>min</v>
      </c>
      <c r="S178" s="36">
        <f>(IF(OR(A178="DWF",A178="DNF"),Données_Planning!I176,MOD(Données_Planning!I176,60)))</f>
        <v>0</v>
      </c>
      <c r="T178" s="28" t="str">
        <f t="shared" si="24"/>
        <v>s</v>
      </c>
      <c r="U178" s="37">
        <f>(IF(OR(A178="DWF",A178="DNF"),0,QUOTIENT(Données_Planning!K176,60)))</f>
        <v>0</v>
      </c>
      <c r="V178" s="7" t="str">
        <f t="shared" si="25"/>
        <v>min</v>
      </c>
      <c r="W178" s="36">
        <f>(IF(OR(A178="DWF",A178="DNF"),Données_Planning!K176,MOD(Données_Planning!K176,60)))</f>
        <v>0</v>
      </c>
      <c r="X178" s="38" t="str">
        <f t="shared" si="26"/>
        <v>s</v>
      </c>
      <c r="Y178" s="42"/>
    </row>
    <row r="179" spans="1:25" ht="15.75" x14ac:dyDescent="0.25">
      <c r="A179" s="4">
        <f>Données_Planning!A177</f>
        <v>0</v>
      </c>
      <c r="B179" s="6">
        <f>Données_Planning!B177</f>
        <v>0</v>
      </c>
      <c r="C179" s="28">
        <f>Données_Planning!C177</f>
        <v>0</v>
      </c>
      <c r="D179" s="50">
        <f t="shared" si="18"/>
        <v>0</v>
      </c>
      <c r="E179" s="51">
        <f t="shared" si="19"/>
        <v>0</v>
      </c>
      <c r="F179" s="52">
        <f t="shared" si="20"/>
        <v>0</v>
      </c>
      <c r="G179" s="47">
        <f>Données_Planning!L177</f>
        <v>0</v>
      </c>
      <c r="H179" s="18">
        <f>Données_Planning!H177</f>
        <v>0</v>
      </c>
      <c r="I179" s="5">
        <f>Données_Planning!D177</f>
        <v>0</v>
      </c>
      <c r="J179" s="22">
        <f>Données_Planning!F177</f>
        <v>0</v>
      </c>
      <c r="K179" s="22">
        <f>Données_Planning!E177</f>
        <v>0</v>
      </c>
      <c r="L179" s="35">
        <f>Données_Planning!G177</f>
        <v>0</v>
      </c>
      <c r="M179" s="37">
        <f>(IF(OR(A179="DWF",A179="DNF"),0,QUOTIENT(Données_Planning!J177,60)))</f>
        <v>0</v>
      </c>
      <c r="N179" s="7" t="str">
        <f t="shared" si="21"/>
        <v>min</v>
      </c>
      <c r="O179" s="36">
        <f>(IF(OR(A179="DWF",A179="DNF"),Données_Planning!J177,MOD(Données_Planning!J177,60)))</f>
        <v>0</v>
      </c>
      <c r="P179" s="28" t="str">
        <f t="shared" si="22"/>
        <v>s</v>
      </c>
      <c r="Q179" s="37">
        <f>(IF(OR(A179="DWF",A179="DNF"),0,QUOTIENT(Données_Planning!I177,60)))</f>
        <v>0</v>
      </c>
      <c r="R179" s="7" t="str">
        <f t="shared" si="23"/>
        <v>min</v>
      </c>
      <c r="S179" s="36">
        <f>(IF(OR(A179="DWF",A179="DNF"),Données_Planning!I177,MOD(Données_Planning!I177,60)))</f>
        <v>0</v>
      </c>
      <c r="T179" s="28" t="str">
        <f t="shared" si="24"/>
        <v>s</v>
      </c>
      <c r="U179" s="37">
        <f>(IF(OR(A179="DWF",A179="DNF"),0,QUOTIENT(Données_Planning!K177,60)))</f>
        <v>0</v>
      </c>
      <c r="V179" s="7" t="str">
        <f t="shared" si="25"/>
        <v>min</v>
      </c>
      <c r="W179" s="36">
        <f>(IF(OR(A179="DWF",A179="DNF"),Données_Planning!K177,MOD(Données_Planning!K177,60)))</f>
        <v>0</v>
      </c>
      <c r="X179" s="38" t="str">
        <f t="shared" si="26"/>
        <v>s</v>
      </c>
      <c r="Y179" s="42"/>
    </row>
    <row r="180" spans="1:25" ht="15.75" x14ac:dyDescent="0.25">
      <c r="A180" s="4">
        <f>Données_Planning!A178</f>
        <v>0</v>
      </c>
      <c r="B180" s="6">
        <f>Données_Planning!B178</f>
        <v>0</v>
      </c>
      <c r="C180" s="28">
        <f>Données_Planning!C178</f>
        <v>0</v>
      </c>
      <c r="D180" s="50">
        <f t="shared" si="18"/>
        <v>0</v>
      </c>
      <c r="E180" s="51">
        <f t="shared" si="19"/>
        <v>0</v>
      </c>
      <c r="F180" s="52">
        <f t="shared" si="20"/>
        <v>0</v>
      </c>
      <c r="G180" s="47">
        <f>Données_Planning!L178</f>
        <v>0</v>
      </c>
      <c r="H180" s="18">
        <f>Données_Planning!H178</f>
        <v>0</v>
      </c>
      <c r="I180" s="5">
        <f>Données_Planning!D178</f>
        <v>0</v>
      </c>
      <c r="J180" s="22">
        <f>Données_Planning!F178</f>
        <v>0</v>
      </c>
      <c r="K180" s="22">
        <f>Données_Planning!E178</f>
        <v>0</v>
      </c>
      <c r="L180" s="35">
        <f>Données_Planning!G178</f>
        <v>0</v>
      </c>
      <c r="M180" s="37">
        <f>(IF(OR(A180="DWF",A180="DNF"),0,QUOTIENT(Données_Planning!J178,60)))</f>
        <v>0</v>
      </c>
      <c r="N180" s="7" t="str">
        <f t="shared" si="21"/>
        <v>min</v>
      </c>
      <c r="O180" s="36">
        <f>(IF(OR(A180="DWF",A180="DNF"),Données_Planning!J178,MOD(Données_Planning!J178,60)))</f>
        <v>0</v>
      </c>
      <c r="P180" s="28" t="str">
        <f t="shared" si="22"/>
        <v>s</v>
      </c>
      <c r="Q180" s="37">
        <f>(IF(OR(A180="DWF",A180="DNF"),0,QUOTIENT(Données_Planning!I178,60)))</f>
        <v>0</v>
      </c>
      <c r="R180" s="7" t="str">
        <f t="shared" si="23"/>
        <v>min</v>
      </c>
      <c r="S180" s="36">
        <f>(IF(OR(A180="DWF",A180="DNF"),Données_Planning!I178,MOD(Données_Planning!I178,60)))</f>
        <v>0</v>
      </c>
      <c r="T180" s="28" t="str">
        <f t="shared" si="24"/>
        <v>s</v>
      </c>
      <c r="U180" s="37">
        <f>(IF(OR(A180="DWF",A180="DNF"),0,QUOTIENT(Données_Planning!K178,60)))</f>
        <v>0</v>
      </c>
      <c r="V180" s="7" t="str">
        <f t="shared" si="25"/>
        <v>min</v>
      </c>
      <c r="W180" s="36">
        <f>(IF(OR(A180="DWF",A180="DNF"),Données_Planning!K178,MOD(Données_Planning!K178,60)))</f>
        <v>0</v>
      </c>
      <c r="X180" s="38" t="str">
        <f t="shared" si="26"/>
        <v>s</v>
      </c>
      <c r="Y180" s="42"/>
    </row>
    <row r="181" spans="1:25" ht="15.75" x14ac:dyDescent="0.25">
      <c r="A181" s="4">
        <f>Données_Planning!A179</f>
        <v>0</v>
      </c>
      <c r="B181" s="6">
        <f>Données_Planning!B179</f>
        <v>0</v>
      </c>
      <c r="C181" s="28">
        <f>Données_Planning!C179</f>
        <v>0</v>
      </c>
      <c r="D181" s="50">
        <f t="shared" si="18"/>
        <v>0</v>
      </c>
      <c r="E181" s="51">
        <f t="shared" si="19"/>
        <v>0</v>
      </c>
      <c r="F181" s="52">
        <f t="shared" si="20"/>
        <v>0</v>
      </c>
      <c r="G181" s="47">
        <f>Données_Planning!L179</f>
        <v>0</v>
      </c>
      <c r="H181" s="18">
        <f>Données_Planning!H179</f>
        <v>0</v>
      </c>
      <c r="I181" s="5">
        <f>Données_Planning!D179</f>
        <v>0</v>
      </c>
      <c r="J181" s="22">
        <f>Données_Planning!F179</f>
        <v>0</v>
      </c>
      <c r="K181" s="22">
        <f>Données_Planning!E179</f>
        <v>0</v>
      </c>
      <c r="L181" s="35">
        <f>Données_Planning!G179</f>
        <v>0</v>
      </c>
      <c r="M181" s="37">
        <f>(IF(OR(A181="DWF",A181="DNF"),0,QUOTIENT(Données_Planning!J179,60)))</f>
        <v>0</v>
      </c>
      <c r="N181" s="7" t="str">
        <f t="shared" si="21"/>
        <v>min</v>
      </c>
      <c r="O181" s="36">
        <f>(IF(OR(A181="DWF",A181="DNF"),Données_Planning!J179,MOD(Données_Planning!J179,60)))</f>
        <v>0</v>
      </c>
      <c r="P181" s="28" t="str">
        <f t="shared" si="22"/>
        <v>s</v>
      </c>
      <c r="Q181" s="37">
        <f>(IF(OR(A181="DWF",A181="DNF"),0,QUOTIENT(Données_Planning!I179,60)))</f>
        <v>0</v>
      </c>
      <c r="R181" s="7" t="str">
        <f t="shared" si="23"/>
        <v>min</v>
      </c>
      <c r="S181" s="36">
        <f>(IF(OR(A181="DWF",A181="DNF"),Données_Planning!I179,MOD(Données_Planning!I179,60)))</f>
        <v>0</v>
      </c>
      <c r="T181" s="28" t="str">
        <f t="shared" si="24"/>
        <v>s</v>
      </c>
      <c r="U181" s="37">
        <f>(IF(OR(A181="DWF",A181="DNF"),0,QUOTIENT(Données_Planning!K179,60)))</f>
        <v>0</v>
      </c>
      <c r="V181" s="7" t="str">
        <f t="shared" si="25"/>
        <v>min</v>
      </c>
      <c r="W181" s="36">
        <f>(IF(OR(A181="DWF",A181="DNF"),Données_Planning!K179,MOD(Données_Planning!K179,60)))</f>
        <v>0</v>
      </c>
      <c r="X181" s="38" t="str">
        <f t="shared" si="26"/>
        <v>s</v>
      </c>
      <c r="Y181" s="42"/>
    </row>
    <row r="182" spans="1:25" ht="15.75" x14ac:dyDescent="0.25">
      <c r="A182" s="4">
        <f>Données_Planning!A180</f>
        <v>0</v>
      </c>
      <c r="B182" s="6">
        <f>Données_Planning!B180</f>
        <v>0</v>
      </c>
      <c r="C182" s="28">
        <f>Données_Planning!C180</f>
        <v>0</v>
      </c>
      <c r="D182" s="50">
        <f t="shared" si="18"/>
        <v>0</v>
      </c>
      <c r="E182" s="51">
        <f t="shared" si="19"/>
        <v>0</v>
      </c>
      <c r="F182" s="52">
        <f t="shared" si="20"/>
        <v>0</v>
      </c>
      <c r="G182" s="47">
        <f>Données_Planning!L180</f>
        <v>0</v>
      </c>
      <c r="H182" s="18">
        <f>Données_Planning!H180</f>
        <v>0</v>
      </c>
      <c r="I182" s="5">
        <f>Données_Planning!D180</f>
        <v>0</v>
      </c>
      <c r="J182" s="22">
        <f>Données_Planning!F180</f>
        <v>0</v>
      </c>
      <c r="K182" s="22">
        <f>Données_Planning!E180</f>
        <v>0</v>
      </c>
      <c r="L182" s="35">
        <f>Données_Planning!G180</f>
        <v>0</v>
      </c>
      <c r="M182" s="37">
        <f>(IF(OR(A182="DWF",A182="DNF"),0,QUOTIENT(Données_Planning!J180,60)))</f>
        <v>0</v>
      </c>
      <c r="N182" s="7" t="str">
        <f t="shared" si="21"/>
        <v>min</v>
      </c>
      <c r="O182" s="36">
        <f>(IF(OR(A182="DWF",A182="DNF"),Données_Planning!J180,MOD(Données_Planning!J180,60)))</f>
        <v>0</v>
      </c>
      <c r="P182" s="28" t="str">
        <f t="shared" si="22"/>
        <v>s</v>
      </c>
      <c r="Q182" s="37">
        <f>(IF(OR(A182="DWF",A182="DNF"),0,QUOTIENT(Données_Planning!I180,60)))</f>
        <v>0</v>
      </c>
      <c r="R182" s="7" t="str">
        <f t="shared" si="23"/>
        <v>min</v>
      </c>
      <c r="S182" s="36">
        <f>(IF(OR(A182="DWF",A182="DNF"),Données_Planning!I180,MOD(Données_Planning!I180,60)))</f>
        <v>0</v>
      </c>
      <c r="T182" s="28" t="str">
        <f t="shared" si="24"/>
        <v>s</v>
      </c>
      <c r="U182" s="37">
        <f>(IF(OR(A182="DWF",A182="DNF"),0,QUOTIENT(Données_Planning!K180,60)))</f>
        <v>0</v>
      </c>
      <c r="V182" s="7" t="str">
        <f t="shared" si="25"/>
        <v>min</v>
      </c>
      <c r="W182" s="36">
        <f>(IF(OR(A182="DWF",A182="DNF"),Données_Planning!K180,MOD(Données_Planning!K180,60)))</f>
        <v>0</v>
      </c>
      <c r="X182" s="38" t="str">
        <f t="shared" si="26"/>
        <v>s</v>
      </c>
      <c r="Y182" s="42"/>
    </row>
    <row r="183" spans="1:25" ht="15.75" x14ac:dyDescent="0.25">
      <c r="A183" s="4">
        <f>Données_Planning!A181</f>
        <v>0</v>
      </c>
      <c r="B183" s="6">
        <f>Données_Planning!B181</f>
        <v>0</v>
      </c>
      <c r="C183" s="28">
        <f>Données_Planning!C181</f>
        <v>0</v>
      </c>
      <c r="D183" s="50">
        <f t="shared" si="18"/>
        <v>0</v>
      </c>
      <c r="E183" s="51">
        <f t="shared" si="19"/>
        <v>0</v>
      </c>
      <c r="F183" s="52">
        <f t="shared" si="20"/>
        <v>0</v>
      </c>
      <c r="G183" s="47">
        <f>Données_Planning!L181</f>
        <v>0</v>
      </c>
      <c r="H183" s="18">
        <f>Données_Planning!H181</f>
        <v>0</v>
      </c>
      <c r="I183" s="5">
        <f>Données_Planning!D181</f>
        <v>0</v>
      </c>
      <c r="J183" s="22">
        <f>Données_Planning!F181</f>
        <v>0</v>
      </c>
      <c r="K183" s="22">
        <f>Données_Planning!E181</f>
        <v>0</v>
      </c>
      <c r="L183" s="35">
        <f>Données_Planning!G181</f>
        <v>0</v>
      </c>
      <c r="M183" s="37">
        <f>(IF(OR(A183="DWF",A183="DNF"),0,QUOTIENT(Données_Planning!J181,60)))</f>
        <v>0</v>
      </c>
      <c r="N183" s="7" t="str">
        <f t="shared" si="21"/>
        <v>min</v>
      </c>
      <c r="O183" s="36">
        <f>(IF(OR(A183="DWF",A183="DNF"),Données_Planning!J181,MOD(Données_Planning!J181,60)))</f>
        <v>0</v>
      </c>
      <c r="P183" s="28" t="str">
        <f t="shared" si="22"/>
        <v>s</v>
      </c>
      <c r="Q183" s="37">
        <f>(IF(OR(A183="DWF",A183="DNF"),0,QUOTIENT(Données_Planning!I181,60)))</f>
        <v>0</v>
      </c>
      <c r="R183" s="7" t="str">
        <f t="shared" si="23"/>
        <v>min</v>
      </c>
      <c r="S183" s="36">
        <f>(IF(OR(A183="DWF",A183="DNF"),Données_Planning!I181,MOD(Données_Planning!I181,60)))</f>
        <v>0</v>
      </c>
      <c r="T183" s="28" t="str">
        <f t="shared" si="24"/>
        <v>s</v>
      </c>
      <c r="U183" s="37">
        <f>(IF(OR(A183="DWF",A183="DNF"),0,QUOTIENT(Données_Planning!K181,60)))</f>
        <v>0</v>
      </c>
      <c r="V183" s="7" t="str">
        <f t="shared" si="25"/>
        <v>min</v>
      </c>
      <c r="W183" s="36">
        <f>(IF(OR(A183="DWF",A183="DNF"),Données_Planning!K181,MOD(Données_Planning!K181,60)))</f>
        <v>0</v>
      </c>
      <c r="X183" s="38" t="str">
        <f t="shared" si="26"/>
        <v>s</v>
      </c>
      <c r="Y183" s="42"/>
    </row>
    <row r="184" spans="1:25" ht="15.75" x14ac:dyDescent="0.25">
      <c r="A184" s="4">
        <f>Données_Planning!A182</f>
        <v>0</v>
      </c>
      <c r="B184" s="6">
        <f>Données_Planning!B182</f>
        <v>0</v>
      </c>
      <c r="C184" s="28">
        <f>Données_Planning!C182</f>
        <v>0</v>
      </c>
      <c r="D184" s="50">
        <f t="shared" si="18"/>
        <v>0</v>
      </c>
      <c r="E184" s="51">
        <f t="shared" si="19"/>
        <v>0</v>
      </c>
      <c r="F184" s="52">
        <f t="shared" si="20"/>
        <v>0</v>
      </c>
      <c r="G184" s="47">
        <f>Données_Planning!L182</f>
        <v>0</v>
      </c>
      <c r="H184" s="18">
        <f>Données_Planning!H182</f>
        <v>0</v>
      </c>
      <c r="I184" s="5">
        <f>Données_Planning!D182</f>
        <v>0</v>
      </c>
      <c r="J184" s="22">
        <f>Données_Planning!F182</f>
        <v>0</v>
      </c>
      <c r="K184" s="22">
        <f>Données_Planning!E182</f>
        <v>0</v>
      </c>
      <c r="L184" s="35">
        <f>Données_Planning!G182</f>
        <v>0</v>
      </c>
      <c r="M184" s="37">
        <f>(IF(OR(A184="DWF",A184="DNF"),0,QUOTIENT(Données_Planning!J182,60)))</f>
        <v>0</v>
      </c>
      <c r="N184" s="7" t="str">
        <f t="shared" si="21"/>
        <v>min</v>
      </c>
      <c r="O184" s="36">
        <f>(IF(OR(A184="DWF",A184="DNF"),Données_Planning!J182,MOD(Données_Planning!J182,60)))</f>
        <v>0</v>
      </c>
      <c r="P184" s="28" t="str">
        <f t="shared" si="22"/>
        <v>s</v>
      </c>
      <c r="Q184" s="37">
        <f>(IF(OR(A184="DWF",A184="DNF"),0,QUOTIENT(Données_Planning!I182,60)))</f>
        <v>0</v>
      </c>
      <c r="R184" s="7" t="str">
        <f t="shared" si="23"/>
        <v>min</v>
      </c>
      <c r="S184" s="36">
        <f>(IF(OR(A184="DWF",A184="DNF"),Données_Planning!I182,MOD(Données_Planning!I182,60)))</f>
        <v>0</v>
      </c>
      <c r="T184" s="28" t="str">
        <f t="shared" si="24"/>
        <v>s</v>
      </c>
      <c r="U184" s="37">
        <f>(IF(OR(A184="DWF",A184="DNF"),0,QUOTIENT(Données_Planning!K182,60)))</f>
        <v>0</v>
      </c>
      <c r="V184" s="7" t="str">
        <f t="shared" si="25"/>
        <v>min</v>
      </c>
      <c r="W184" s="36">
        <f>(IF(OR(A184="DWF",A184="DNF"),Données_Planning!K182,MOD(Données_Planning!K182,60)))</f>
        <v>0</v>
      </c>
      <c r="X184" s="38" t="str">
        <f t="shared" si="26"/>
        <v>s</v>
      </c>
      <c r="Y184" s="42"/>
    </row>
    <row r="185" spans="1:25" ht="15.75" x14ac:dyDescent="0.25">
      <c r="A185" s="4">
        <f>Données_Planning!A183</f>
        <v>0</v>
      </c>
      <c r="B185" s="6">
        <f>Données_Planning!B183</f>
        <v>0</v>
      </c>
      <c r="C185" s="28">
        <f>Données_Planning!C183</f>
        <v>0</v>
      </c>
      <c r="D185" s="50">
        <f t="shared" si="18"/>
        <v>0</v>
      </c>
      <c r="E185" s="51">
        <f t="shared" si="19"/>
        <v>0</v>
      </c>
      <c r="F185" s="52">
        <f t="shared" si="20"/>
        <v>0</v>
      </c>
      <c r="G185" s="47">
        <f>Données_Planning!L183</f>
        <v>0</v>
      </c>
      <c r="H185" s="18">
        <f>Données_Planning!H183</f>
        <v>0</v>
      </c>
      <c r="I185" s="5">
        <f>Données_Planning!D183</f>
        <v>0</v>
      </c>
      <c r="J185" s="22">
        <f>Données_Planning!F183</f>
        <v>0</v>
      </c>
      <c r="K185" s="22">
        <f>Données_Planning!E183</f>
        <v>0</v>
      </c>
      <c r="L185" s="35">
        <f>Données_Planning!G183</f>
        <v>0</v>
      </c>
      <c r="M185" s="37">
        <f>(IF(OR(A185="DWF",A185="DNF"),0,QUOTIENT(Données_Planning!J183,60)))</f>
        <v>0</v>
      </c>
      <c r="N185" s="7" t="str">
        <f t="shared" si="21"/>
        <v>min</v>
      </c>
      <c r="O185" s="36">
        <f>(IF(OR(A185="DWF",A185="DNF"),Données_Planning!J183,MOD(Données_Planning!J183,60)))</f>
        <v>0</v>
      </c>
      <c r="P185" s="28" t="str">
        <f t="shared" si="22"/>
        <v>s</v>
      </c>
      <c r="Q185" s="37">
        <f>(IF(OR(A185="DWF",A185="DNF"),0,QUOTIENT(Données_Planning!I183,60)))</f>
        <v>0</v>
      </c>
      <c r="R185" s="7" t="str">
        <f t="shared" si="23"/>
        <v>min</v>
      </c>
      <c r="S185" s="36">
        <f>(IF(OR(A185="DWF",A185="DNF"),Données_Planning!I183,MOD(Données_Planning!I183,60)))</f>
        <v>0</v>
      </c>
      <c r="T185" s="28" t="str">
        <f t="shared" si="24"/>
        <v>s</v>
      </c>
      <c r="U185" s="37">
        <f>(IF(OR(A185="DWF",A185="DNF"),0,QUOTIENT(Données_Planning!K183,60)))</f>
        <v>0</v>
      </c>
      <c r="V185" s="7" t="str">
        <f t="shared" si="25"/>
        <v>min</v>
      </c>
      <c r="W185" s="36">
        <f>(IF(OR(A185="DWF",A185="DNF"),Données_Planning!K183,MOD(Données_Planning!K183,60)))</f>
        <v>0</v>
      </c>
      <c r="X185" s="38" t="str">
        <f t="shared" si="26"/>
        <v>s</v>
      </c>
      <c r="Y185" s="42"/>
    </row>
    <row r="186" spans="1:25" ht="15.75" x14ac:dyDescent="0.25">
      <c r="A186" s="4">
        <f>Données_Planning!A184</f>
        <v>0</v>
      </c>
      <c r="B186" s="6">
        <f>Données_Planning!B184</f>
        <v>0</v>
      </c>
      <c r="C186" s="28">
        <f>Données_Planning!C184</f>
        <v>0</v>
      </c>
      <c r="D186" s="50">
        <f t="shared" si="18"/>
        <v>0</v>
      </c>
      <c r="E186" s="51">
        <f t="shared" si="19"/>
        <v>0</v>
      </c>
      <c r="F186" s="52">
        <f t="shared" si="20"/>
        <v>0</v>
      </c>
      <c r="G186" s="47">
        <f>Données_Planning!L184</f>
        <v>0</v>
      </c>
      <c r="H186" s="18">
        <f>Données_Planning!H184</f>
        <v>0</v>
      </c>
      <c r="I186" s="5">
        <f>Données_Planning!D184</f>
        <v>0</v>
      </c>
      <c r="J186" s="22">
        <f>Données_Planning!F184</f>
        <v>0</v>
      </c>
      <c r="K186" s="22">
        <f>Données_Planning!E184</f>
        <v>0</v>
      </c>
      <c r="L186" s="35">
        <f>Données_Planning!G184</f>
        <v>0</v>
      </c>
      <c r="M186" s="37">
        <f>(IF(OR(A186="DWF",A186="DNF"),0,QUOTIENT(Données_Planning!J184,60)))</f>
        <v>0</v>
      </c>
      <c r="N186" s="7" t="str">
        <f t="shared" si="21"/>
        <v>min</v>
      </c>
      <c r="O186" s="36">
        <f>(IF(OR(A186="DWF",A186="DNF"),Données_Planning!J184,MOD(Données_Planning!J184,60)))</f>
        <v>0</v>
      </c>
      <c r="P186" s="28" t="str">
        <f t="shared" si="22"/>
        <v>s</v>
      </c>
      <c r="Q186" s="37">
        <f>(IF(OR(A186="DWF",A186="DNF"),0,QUOTIENT(Données_Planning!I184,60)))</f>
        <v>0</v>
      </c>
      <c r="R186" s="7" t="str">
        <f t="shared" si="23"/>
        <v>min</v>
      </c>
      <c r="S186" s="36">
        <f>(IF(OR(A186="DWF",A186="DNF"),Données_Planning!I184,MOD(Données_Planning!I184,60)))</f>
        <v>0</v>
      </c>
      <c r="T186" s="28" t="str">
        <f t="shared" si="24"/>
        <v>s</v>
      </c>
      <c r="U186" s="37">
        <f>(IF(OR(A186="DWF",A186="DNF"),0,QUOTIENT(Données_Planning!K184,60)))</f>
        <v>0</v>
      </c>
      <c r="V186" s="7" t="str">
        <f t="shared" si="25"/>
        <v>min</v>
      </c>
      <c r="W186" s="36">
        <f>(IF(OR(A186="DWF",A186="DNF"),Données_Planning!K184,MOD(Données_Planning!K184,60)))</f>
        <v>0</v>
      </c>
      <c r="X186" s="38" t="str">
        <f t="shared" si="26"/>
        <v>s</v>
      </c>
      <c r="Y186" s="42"/>
    </row>
    <row r="187" spans="1:25" ht="15.75" x14ac:dyDescent="0.25">
      <c r="A187" s="4">
        <f>Données_Planning!A185</f>
        <v>0</v>
      </c>
      <c r="B187" s="6">
        <f>Données_Planning!B185</f>
        <v>0</v>
      </c>
      <c r="C187" s="28">
        <f>Données_Planning!C185</f>
        <v>0</v>
      </c>
      <c r="D187" s="50">
        <f t="shared" si="18"/>
        <v>0</v>
      </c>
      <c r="E187" s="51">
        <f t="shared" si="19"/>
        <v>0</v>
      </c>
      <c r="F187" s="52">
        <f t="shared" si="20"/>
        <v>0</v>
      </c>
      <c r="G187" s="47">
        <f>Données_Planning!L185</f>
        <v>0</v>
      </c>
      <c r="H187" s="18">
        <f>Données_Planning!H185</f>
        <v>0</v>
      </c>
      <c r="I187" s="5">
        <f>Données_Planning!D185</f>
        <v>0</v>
      </c>
      <c r="J187" s="22">
        <f>Données_Planning!F185</f>
        <v>0</v>
      </c>
      <c r="K187" s="22">
        <f>Données_Planning!E185</f>
        <v>0</v>
      </c>
      <c r="L187" s="35">
        <f>Données_Planning!G185</f>
        <v>0</v>
      </c>
      <c r="M187" s="37">
        <f>(IF(OR(A187="DWF",A187="DNF"),0,QUOTIENT(Données_Planning!J185,60)))</f>
        <v>0</v>
      </c>
      <c r="N187" s="7" t="str">
        <f t="shared" si="21"/>
        <v>min</v>
      </c>
      <c r="O187" s="36">
        <f>(IF(OR(A187="DWF",A187="DNF"),Données_Planning!J185,MOD(Données_Planning!J185,60)))</f>
        <v>0</v>
      </c>
      <c r="P187" s="28" t="str">
        <f t="shared" si="22"/>
        <v>s</v>
      </c>
      <c r="Q187" s="37">
        <f>(IF(OR(A187="DWF",A187="DNF"),0,QUOTIENT(Données_Planning!I185,60)))</f>
        <v>0</v>
      </c>
      <c r="R187" s="7" t="str">
        <f t="shared" si="23"/>
        <v>min</v>
      </c>
      <c r="S187" s="36">
        <f>(IF(OR(A187="DWF",A187="DNF"),Données_Planning!I185,MOD(Données_Planning!I185,60)))</f>
        <v>0</v>
      </c>
      <c r="T187" s="28" t="str">
        <f t="shared" si="24"/>
        <v>s</v>
      </c>
      <c r="U187" s="37">
        <f>(IF(OR(A187="DWF",A187="DNF"),0,QUOTIENT(Données_Planning!K185,60)))</f>
        <v>0</v>
      </c>
      <c r="V187" s="7" t="str">
        <f t="shared" si="25"/>
        <v>min</v>
      </c>
      <c r="W187" s="36">
        <f>(IF(OR(A187="DWF",A187="DNF"),Données_Planning!K185,MOD(Données_Planning!K185,60)))</f>
        <v>0</v>
      </c>
      <c r="X187" s="38" t="str">
        <f t="shared" si="26"/>
        <v>s</v>
      </c>
      <c r="Y187" s="42"/>
    </row>
    <row r="188" spans="1:25" ht="15.75" x14ac:dyDescent="0.25">
      <c r="A188" s="4">
        <f>Données_Planning!A186</f>
        <v>0</v>
      </c>
      <c r="B188" s="6">
        <f>Données_Planning!B186</f>
        <v>0</v>
      </c>
      <c r="C188" s="28">
        <f>Données_Planning!C186</f>
        <v>0</v>
      </c>
      <c r="D188" s="50">
        <f t="shared" si="18"/>
        <v>0</v>
      </c>
      <c r="E188" s="51">
        <f t="shared" si="19"/>
        <v>0</v>
      </c>
      <c r="F188" s="52">
        <f t="shared" si="20"/>
        <v>0</v>
      </c>
      <c r="G188" s="47">
        <f>Données_Planning!L186</f>
        <v>0</v>
      </c>
      <c r="H188" s="18">
        <f>Données_Planning!H186</f>
        <v>0</v>
      </c>
      <c r="I188" s="5">
        <f>Données_Planning!D186</f>
        <v>0</v>
      </c>
      <c r="J188" s="22">
        <f>Données_Planning!F186</f>
        <v>0</v>
      </c>
      <c r="K188" s="22">
        <f>Données_Planning!E186</f>
        <v>0</v>
      </c>
      <c r="L188" s="35">
        <f>Données_Planning!G186</f>
        <v>0</v>
      </c>
      <c r="M188" s="37">
        <f>(IF(OR(A188="DWF",A188="DNF"),0,QUOTIENT(Données_Planning!J186,60)))</f>
        <v>0</v>
      </c>
      <c r="N188" s="7" t="str">
        <f t="shared" si="21"/>
        <v>min</v>
      </c>
      <c r="O188" s="36">
        <f>(IF(OR(A188="DWF",A188="DNF"),Données_Planning!J186,MOD(Données_Planning!J186,60)))</f>
        <v>0</v>
      </c>
      <c r="P188" s="28" t="str">
        <f t="shared" si="22"/>
        <v>s</v>
      </c>
      <c r="Q188" s="37">
        <f>(IF(OR(A188="DWF",A188="DNF"),0,QUOTIENT(Données_Planning!I186,60)))</f>
        <v>0</v>
      </c>
      <c r="R188" s="7" t="str">
        <f t="shared" si="23"/>
        <v>min</v>
      </c>
      <c r="S188" s="36">
        <f>(IF(OR(A188="DWF",A188="DNF"),Données_Planning!I186,MOD(Données_Planning!I186,60)))</f>
        <v>0</v>
      </c>
      <c r="T188" s="28" t="str">
        <f t="shared" si="24"/>
        <v>s</v>
      </c>
      <c r="U188" s="37">
        <f>(IF(OR(A188="DWF",A188="DNF"),0,QUOTIENT(Données_Planning!K186,60)))</f>
        <v>0</v>
      </c>
      <c r="V188" s="7" t="str">
        <f t="shared" si="25"/>
        <v>min</v>
      </c>
      <c r="W188" s="36">
        <f>(IF(OR(A188="DWF",A188="DNF"),Données_Planning!K186,MOD(Données_Planning!K186,60)))</f>
        <v>0</v>
      </c>
      <c r="X188" s="38" t="str">
        <f t="shared" si="26"/>
        <v>s</v>
      </c>
      <c r="Y188" s="42"/>
    </row>
    <row r="189" spans="1:25" ht="15.75" x14ac:dyDescent="0.25">
      <c r="A189" s="4">
        <f>Données_Planning!A187</f>
        <v>0</v>
      </c>
      <c r="B189" s="6">
        <f>Données_Planning!B187</f>
        <v>0</v>
      </c>
      <c r="C189" s="28">
        <f>Données_Planning!C187</f>
        <v>0</v>
      </c>
      <c r="D189" s="50">
        <f t="shared" si="18"/>
        <v>0</v>
      </c>
      <c r="E189" s="51">
        <f t="shared" si="19"/>
        <v>0</v>
      </c>
      <c r="F189" s="52">
        <f t="shared" si="20"/>
        <v>0</v>
      </c>
      <c r="G189" s="47">
        <f>Données_Planning!L187</f>
        <v>0</v>
      </c>
      <c r="H189" s="18">
        <f>Données_Planning!H187</f>
        <v>0</v>
      </c>
      <c r="I189" s="5">
        <f>Données_Planning!D187</f>
        <v>0</v>
      </c>
      <c r="J189" s="22">
        <f>Données_Planning!F187</f>
        <v>0</v>
      </c>
      <c r="K189" s="22">
        <f>Données_Planning!E187</f>
        <v>0</v>
      </c>
      <c r="L189" s="35">
        <f>Données_Planning!G187</f>
        <v>0</v>
      </c>
      <c r="M189" s="37">
        <f>(IF(OR(A189="DWF",A189="DNF"),0,QUOTIENT(Données_Planning!J187,60)))</f>
        <v>0</v>
      </c>
      <c r="N189" s="7" t="str">
        <f t="shared" si="21"/>
        <v>min</v>
      </c>
      <c r="O189" s="36">
        <f>(IF(OR(A189="DWF",A189="DNF"),Données_Planning!J187,MOD(Données_Planning!J187,60)))</f>
        <v>0</v>
      </c>
      <c r="P189" s="28" t="str">
        <f t="shared" si="22"/>
        <v>s</v>
      </c>
      <c r="Q189" s="37">
        <f>(IF(OR(A189="DWF",A189="DNF"),0,QUOTIENT(Données_Planning!I187,60)))</f>
        <v>0</v>
      </c>
      <c r="R189" s="7" t="str">
        <f t="shared" si="23"/>
        <v>min</v>
      </c>
      <c r="S189" s="36">
        <f>(IF(OR(A189="DWF",A189="DNF"),Données_Planning!I187,MOD(Données_Planning!I187,60)))</f>
        <v>0</v>
      </c>
      <c r="T189" s="28" t="str">
        <f t="shared" si="24"/>
        <v>s</v>
      </c>
      <c r="U189" s="37">
        <f>(IF(OR(A189="DWF",A189="DNF"),0,QUOTIENT(Données_Planning!K187,60)))</f>
        <v>0</v>
      </c>
      <c r="V189" s="7" t="str">
        <f t="shared" si="25"/>
        <v>min</v>
      </c>
      <c r="W189" s="36">
        <f>(IF(OR(A189="DWF",A189="DNF"),Données_Planning!K187,MOD(Données_Planning!K187,60)))</f>
        <v>0</v>
      </c>
      <c r="X189" s="38" t="str">
        <f t="shared" si="26"/>
        <v>s</v>
      </c>
      <c r="Y189" s="42"/>
    </row>
    <row r="190" spans="1:25" ht="15.75" x14ac:dyDescent="0.25">
      <c r="A190" s="4">
        <f>Données_Planning!A188</f>
        <v>0</v>
      </c>
      <c r="B190" s="6">
        <f>Données_Planning!B188</f>
        <v>0</v>
      </c>
      <c r="C190" s="28">
        <f>Données_Planning!C188</f>
        <v>0</v>
      </c>
      <c r="D190" s="50">
        <f t="shared" si="18"/>
        <v>0</v>
      </c>
      <c r="E190" s="51">
        <f t="shared" si="19"/>
        <v>0</v>
      </c>
      <c r="F190" s="52">
        <f t="shared" si="20"/>
        <v>0</v>
      </c>
      <c r="G190" s="47">
        <f>Données_Planning!L188</f>
        <v>0</v>
      </c>
      <c r="H190" s="18">
        <f>Données_Planning!H188</f>
        <v>0</v>
      </c>
      <c r="I190" s="5">
        <f>Données_Planning!D188</f>
        <v>0</v>
      </c>
      <c r="J190" s="22">
        <f>Données_Planning!F188</f>
        <v>0</v>
      </c>
      <c r="K190" s="22">
        <f>Données_Planning!E188</f>
        <v>0</v>
      </c>
      <c r="L190" s="35">
        <f>Données_Planning!G188</f>
        <v>0</v>
      </c>
      <c r="M190" s="37">
        <f>(IF(OR(A190="DWF",A190="DNF"),0,QUOTIENT(Données_Planning!J188,60)))</f>
        <v>0</v>
      </c>
      <c r="N190" s="7" t="str">
        <f t="shared" si="21"/>
        <v>min</v>
      </c>
      <c r="O190" s="36">
        <f>(IF(OR(A190="DWF",A190="DNF"),Données_Planning!J188,MOD(Données_Planning!J188,60)))</f>
        <v>0</v>
      </c>
      <c r="P190" s="28" t="str">
        <f t="shared" si="22"/>
        <v>s</v>
      </c>
      <c r="Q190" s="37">
        <f>(IF(OR(A190="DWF",A190="DNF"),0,QUOTIENT(Données_Planning!I188,60)))</f>
        <v>0</v>
      </c>
      <c r="R190" s="7" t="str">
        <f t="shared" si="23"/>
        <v>min</v>
      </c>
      <c r="S190" s="36">
        <f>(IF(OR(A190="DWF",A190="DNF"),Données_Planning!I188,MOD(Données_Planning!I188,60)))</f>
        <v>0</v>
      </c>
      <c r="T190" s="28" t="str">
        <f t="shared" si="24"/>
        <v>s</v>
      </c>
      <c r="U190" s="37">
        <f>(IF(OR(A190="DWF",A190="DNF"),0,QUOTIENT(Données_Planning!K188,60)))</f>
        <v>0</v>
      </c>
      <c r="V190" s="7" t="str">
        <f t="shared" si="25"/>
        <v>min</v>
      </c>
      <c r="W190" s="36">
        <f>(IF(OR(A190="DWF",A190="DNF"),Données_Planning!K188,MOD(Données_Planning!K188,60)))</f>
        <v>0</v>
      </c>
      <c r="X190" s="38" t="str">
        <f t="shared" si="26"/>
        <v>s</v>
      </c>
      <c r="Y190" s="42"/>
    </row>
    <row r="191" spans="1:25" ht="15.75" x14ac:dyDescent="0.25">
      <c r="A191" s="4">
        <f>Données_Planning!A189</f>
        <v>0</v>
      </c>
      <c r="B191" s="6">
        <f>Données_Planning!B189</f>
        <v>0</v>
      </c>
      <c r="C191" s="28">
        <f>Données_Planning!C189</f>
        <v>0</v>
      </c>
      <c r="D191" s="50">
        <f t="shared" si="18"/>
        <v>0</v>
      </c>
      <c r="E191" s="51">
        <f t="shared" si="19"/>
        <v>0</v>
      </c>
      <c r="F191" s="52">
        <f t="shared" si="20"/>
        <v>0</v>
      </c>
      <c r="G191" s="47">
        <f>Données_Planning!L189</f>
        <v>0</v>
      </c>
      <c r="H191" s="18">
        <f>Données_Planning!H189</f>
        <v>0</v>
      </c>
      <c r="I191" s="5">
        <f>Données_Planning!D189</f>
        <v>0</v>
      </c>
      <c r="J191" s="22">
        <f>Données_Planning!F189</f>
        <v>0</v>
      </c>
      <c r="K191" s="22">
        <f>Données_Planning!E189</f>
        <v>0</v>
      </c>
      <c r="L191" s="35">
        <f>Données_Planning!G189</f>
        <v>0</v>
      </c>
      <c r="M191" s="37">
        <f>(IF(OR(A191="DWF",A191="DNF"),0,QUOTIENT(Données_Planning!J189,60)))</f>
        <v>0</v>
      </c>
      <c r="N191" s="7" t="str">
        <f t="shared" si="21"/>
        <v>min</v>
      </c>
      <c r="O191" s="36">
        <f>(IF(OR(A191="DWF",A191="DNF"),Données_Planning!J189,MOD(Données_Planning!J189,60)))</f>
        <v>0</v>
      </c>
      <c r="P191" s="28" t="str">
        <f t="shared" si="22"/>
        <v>s</v>
      </c>
      <c r="Q191" s="37">
        <f>(IF(OR(A191="DWF",A191="DNF"),0,QUOTIENT(Données_Planning!I189,60)))</f>
        <v>0</v>
      </c>
      <c r="R191" s="7" t="str">
        <f t="shared" si="23"/>
        <v>min</v>
      </c>
      <c r="S191" s="36">
        <f>(IF(OR(A191="DWF",A191="DNF"),Données_Planning!I189,MOD(Données_Planning!I189,60)))</f>
        <v>0</v>
      </c>
      <c r="T191" s="28" t="str">
        <f t="shared" si="24"/>
        <v>s</v>
      </c>
      <c r="U191" s="37">
        <f>(IF(OR(A191="DWF",A191="DNF"),0,QUOTIENT(Données_Planning!K189,60)))</f>
        <v>0</v>
      </c>
      <c r="V191" s="7" t="str">
        <f t="shared" si="25"/>
        <v>min</v>
      </c>
      <c r="W191" s="36">
        <f>(IF(OR(A191="DWF",A191="DNF"),Données_Planning!K189,MOD(Données_Planning!K189,60)))</f>
        <v>0</v>
      </c>
      <c r="X191" s="38" t="str">
        <f t="shared" si="26"/>
        <v>s</v>
      </c>
      <c r="Y191" s="42"/>
    </row>
    <row r="192" spans="1:25" ht="15.75" x14ac:dyDescent="0.25">
      <c r="A192" s="4">
        <f>Données_Planning!A190</f>
        <v>0</v>
      </c>
      <c r="B192" s="6">
        <f>Données_Planning!B190</f>
        <v>0</v>
      </c>
      <c r="C192" s="28">
        <f>Données_Planning!C190</f>
        <v>0</v>
      </c>
      <c r="D192" s="50">
        <f t="shared" si="18"/>
        <v>0</v>
      </c>
      <c r="E192" s="51">
        <f t="shared" si="19"/>
        <v>0</v>
      </c>
      <c r="F192" s="52">
        <f t="shared" si="20"/>
        <v>0</v>
      </c>
      <c r="G192" s="47">
        <f>Données_Planning!L190</f>
        <v>0</v>
      </c>
      <c r="H192" s="18">
        <f>Données_Planning!H190</f>
        <v>0</v>
      </c>
      <c r="I192" s="5">
        <f>Données_Planning!D190</f>
        <v>0</v>
      </c>
      <c r="J192" s="22">
        <f>Données_Planning!F190</f>
        <v>0</v>
      </c>
      <c r="K192" s="22">
        <f>Données_Planning!E190</f>
        <v>0</v>
      </c>
      <c r="L192" s="35">
        <f>Données_Planning!G190</f>
        <v>0</v>
      </c>
      <c r="M192" s="37">
        <f>(IF(OR(A192="DWF",A192="DNF"),0,QUOTIENT(Données_Planning!J190,60)))</f>
        <v>0</v>
      </c>
      <c r="N192" s="7" t="str">
        <f t="shared" si="21"/>
        <v>min</v>
      </c>
      <c r="O192" s="36">
        <f>(IF(OR(A192="DWF",A192="DNF"),Données_Planning!J190,MOD(Données_Planning!J190,60)))</f>
        <v>0</v>
      </c>
      <c r="P192" s="28" t="str">
        <f t="shared" si="22"/>
        <v>s</v>
      </c>
      <c r="Q192" s="37">
        <f>(IF(OR(A192="DWF",A192="DNF"),0,QUOTIENT(Données_Planning!I190,60)))</f>
        <v>0</v>
      </c>
      <c r="R192" s="7" t="str">
        <f t="shared" si="23"/>
        <v>min</v>
      </c>
      <c r="S192" s="36">
        <f>(IF(OR(A192="DWF",A192="DNF"),Données_Planning!I190,MOD(Données_Planning!I190,60)))</f>
        <v>0</v>
      </c>
      <c r="T192" s="28" t="str">
        <f t="shared" si="24"/>
        <v>s</v>
      </c>
      <c r="U192" s="37">
        <f>(IF(OR(A192="DWF",A192="DNF"),0,QUOTIENT(Données_Planning!K190,60)))</f>
        <v>0</v>
      </c>
      <c r="V192" s="7" t="str">
        <f t="shared" si="25"/>
        <v>min</v>
      </c>
      <c r="W192" s="36">
        <f>(IF(OR(A192="DWF",A192="DNF"),Données_Planning!K190,MOD(Données_Planning!K190,60)))</f>
        <v>0</v>
      </c>
      <c r="X192" s="38" t="str">
        <f t="shared" si="26"/>
        <v>s</v>
      </c>
      <c r="Y192" s="42"/>
    </row>
    <row r="193" spans="1:25" ht="15.75" x14ac:dyDescent="0.25">
      <c r="A193" s="4">
        <f>Données_Planning!A191</f>
        <v>0</v>
      </c>
      <c r="B193" s="6">
        <f>Données_Planning!B191</f>
        <v>0</v>
      </c>
      <c r="C193" s="28">
        <f>Données_Planning!C191</f>
        <v>0</v>
      </c>
      <c r="D193" s="50">
        <f t="shared" si="18"/>
        <v>0</v>
      </c>
      <c r="E193" s="51">
        <f t="shared" si="19"/>
        <v>0</v>
      </c>
      <c r="F193" s="52">
        <f t="shared" si="20"/>
        <v>0</v>
      </c>
      <c r="G193" s="47">
        <f>Données_Planning!L191</f>
        <v>0</v>
      </c>
      <c r="H193" s="18">
        <f>Données_Planning!H191</f>
        <v>0</v>
      </c>
      <c r="I193" s="5">
        <f>Données_Planning!D191</f>
        <v>0</v>
      </c>
      <c r="J193" s="22">
        <f>Données_Planning!F191</f>
        <v>0</v>
      </c>
      <c r="K193" s="22">
        <f>Données_Planning!E191</f>
        <v>0</v>
      </c>
      <c r="L193" s="35">
        <f>Données_Planning!G191</f>
        <v>0</v>
      </c>
      <c r="M193" s="37">
        <f>(IF(OR(A193="DWF",A193="DNF"),0,QUOTIENT(Données_Planning!J191,60)))</f>
        <v>0</v>
      </c>
      <c r="N193" s="7" t="str">
        <f t="shared" si="21"/>
        <v>min</v>
      </c>
      <c r="O193" s="36">
        <f>(IF(OR(A193="DWF",A193="DNF"),Données_Planning!J191,MOD(Données_Planning!J191,60)))</f>
        <v>0</v>
      </c>
      <c r="P193" s="28" t="str">
        <f t="shared" si="22"/>
        <v>s</v>
      </c>
      <c r="Q193" s="37">
        <f>(IF(OR(A193="DWF",A193="DNF"),0,QUOTIENT(Données_Planning!I191,60)))</f>
        <v>0</v>
      </c>
      <c r="R193" s="7" t="str">
        <f t="shared" si="23"/>
        <v>min</v>
      </c>
      <c r="S193" s="36">
        <f>(IF(OR(A193="DWF",A193="DNF"),Données_Planning!I191,MOD(Données_Planning!I191,60)))</f>
        <v>0</v>
      </c>
      <c r="T193" s="28" t="str">
        <f t="shared" si="24"/>
        <v>s</v>
      </c>
      <c r="U193" s="37">
        <f>(IF(OR(A193="DWF",A193="DNF"),0,QUOTIENT(Données_Planning!K191,60)))</f>
        <v>0</v>
      </c>
      <c r="V193" s="7" t="str">
        <f t="shared" si="25"/>
        <v>min</v>
      </c>
      <c r="W193" s="36">
        <f>(IF(OR(A193="DWF",A193="DNF"),Données_Planning!K191,MOD(Données_Planning!K191,60)))</f>
        <v>0</v>
      </c>
      <c r="X193" s="38" t="str">
        <f t="shared" si="26"/>
        <v>s</v>
      </c>
      <c r="Y193" s="42"/>
    </row>
    <row r="194" spans="1:25" ht="15.75" x14ac:dyDescent="0.25">
      <c r="A194" s="4">
        <f>Données_Planning!A192</f>
        <v>0</v>
      </c>
      <c r="B194" s="6">
        <f>Données_Planning!B192</f>
        <v>0</v>
      </c>
      <c r="C194" s="28">
        <f>Données_Planning!C192</f>
        <v>0</v>
      </c>
      <c r="D194" s="50">
        <f t="shared" si="18"/>
        <v>0</v>
      </c>
      <c r="E194" s="51">
        <f t="shared" si="19"/>
        <v>0</v>
      </c>
      <c r="F194" s="52">
        <f t="shared" si="20"/>
        <v>0</v>
      </c>
      <c r="G194" s="47">
        <f>Données_Planning!L192</f>
        <v>0</v>
      </c>
      <c r="H194" s="18">
        <f>Données_Planning!H192</f>
        <v>0</v>
      </c>
      <c r="I194" s="5">
        <f>Données_Planning!D192</f>
        <v>0</v>
      </c>
      <c r="J194" s="22">
        <f>Données_Planning!F192</f>
        <v>0</v>
      </c>
      <c r="K194" s="22">
        <f>Données_Planning!E192</f>
        <v>0</v>
      </c>
      <c r="L194" s="35">
        <f>Données_Planning!G192</f>
        <v>0</v>
      </c>
      <c r="M194" s="37">
        <f>(IF(OR(A194="DWF",A194="DNF"),0,QUOTIENT(Données_Planning!J192,60)))</f>
        <v>0</v>
      </c>
      <c r="N194" s="7" t="str">
        <f t="shared" si="21"/>
        <v>min</v>
      </c>
      <c r="O194" s="36">
        <f>(IF(OR(A194="DWF",A194="DNF"),Données_Planning!J192,MOD(Données_Planning!J192,60)))</f>
        <v>0</v>
      </c>
      <c r="P194" s="28" t="str">
        <f t="shared" si="22"/>
        <v>s</v>
      </c>
      <c r="Q194" s="37">
        <f>(IF(OR(A194="DWF",A194="DNF"),0,QUOTIENT(Données_Planning!I192,60)))</f>
        <v>0</v>
      </c>
      <c r="R194" s="7" t="str">
        <f t="shared" si="23"/>
        <v>min</v>
      </c>
      <c r="S194" s="36">
        <f>(IF(OR(A194="DWF",A194="DNF"),Données_Planning!I192,MOD(Données_Planning!I192,60)))</f>
        <v>0</v>
      </c>
      <c r="T194" s="28" t="str">
        <f t="shared" si="24"/>
        <v>s</v>
      </c>
      <c r="U194" s="37">
        <f>(IF(OR(A194="DWF",A194="DNF"),0,QUOTIENT(Données_Planning!K192,60)))</f>
        <v>0</v>
      </c>
      <c r="V194" s="7" t="str">
        <f t="shared" si="25"/>
        <v>min</v>
      </c>
      <c r="W194" s="36">
        <f>(IF(OR(A194="DWF",A194="DNF"),Données_Planning!K192,MOD(Données_Planning!K192,60)))</f>
        <v>0</v>
      </c>
      <c r="X194" s="38" t="str">
        <f t="shared" si="26"/>
        <v>s</v>
      </c>
      <c r="Y194" s="42"/>
    </row>
    <row r="195" spans="1:25" ht="15.75" x14ac:dyDescent="0.25">
      <c r="A195" s="4">
        <f>Données_Planning!A193</f>
        <v>0</v>
      </c>
      <c r="B195" s="6">
        <f>Données_Planning!B193</f>
        <v>0</v>
      </c>
      <c r="C195" s="28">
        <f>Données_Planning!C193</f>
        <v>0</v>
      </c>
      <c r="D195" s="50">
        <f t="shared" si="18"/>
        <v>0</v>
      </c>
      <c r="E195" s="51">
        <f t="shared" si="19"/>
        <v>0</v>
      </c>
      <c r="F195" s="52">
        <f t="shared" si="20"/>
        <v>0</v>
      </c>
      <c r="G195" s="47">
        <f>Données_Planning!L193</f>
        <v>0</v>
      </c>
      <c r="H195" s="18">
        <f>Données_Planning!H193</f>
        <v>0</v>
      </c>
      <c r="I195" s="5">
        <f>Données_Planning!D193</f>
        <v>0</v>
      </c>
      <c r="J195" s="22">
        <f>Données_Planning!F193</f>
        <v>0</v>
      </c>
      <c r="K195" s="22">
        <f>Données_Planning!E193</f>
        <v>0</v>
      </c>
      <c r="L195" s="35">
        <f>Données_Planning!G193</f>
        <v>0</v>
      </c>
      <c r="M195" s="37">
        <f>(IF(OR(A195="DWF",A195="DNF"),0,QUOTIENT(Données_Planning!J193,60)))</f>
        <v>0</v>
      </c>
      <c r="N195" s="7" t="str">
        <f t="shared" si="21"/>
        <v>min</v>
      </c>
      <c r="O195" s="36">
        <f>(IF(OR(A195="DWF",A195="DNF"),Données_Planning!J193,MOD(Données_Planning!J193,60)))</f>
        <v>0</v>
      </c>
      <c r="P195" s="28" t="str">
        <f t="shared" si="22"/>
        <v>s</v>
      </c>
      <c r="Q195" s="37">
        <f>(IF(OR(A195="DWF",A195="DNF"),0,QUOTIENT(Données_Planning!I193,60)))</f>
        <v>0</v>
      </c>
      <c r="R195" s="7" t="str">
        <f t="shared" si="23"/>
        <v>min</v>
      </c>
      <c r="S195" s="36">
        <f>(IF(OR(A195="DWF",A195="DNF"),Données_Planning!I193,MOD(Données_Planning!I193,60)))</f>
        <v>0</v>
      </c>
      <c r="T195" s="28" t="str">
        <f t="shared" si="24"/>
        <v>s</v>
      </c>
      <c r="U195" s="37">
        <f>(IF(OR(A195="DWF",A195="DNF"),0,QUOTIENT(Données_Planning!K193,60)))</f>
        <v>0</v>
      </c>
      <c r="V195" s="7" t="str">
        <f t="shared" si="25"/>
        <v>min</v>
      </c>
      <c r="W195" s="36">
        <f>(IF(OR(A195="DWF",A195="DNF"),Données_Planning!K193,MOD(Données_Planning!K193,60)))</f>
        <v>0</v>
      </c>
      <c r="X195" s="38" t="str">
        <f t="shared" si="26"/>
        <v>s</v>
      </c>
      <c r="Y195" s="42"/>
    </row>
    <row r="196" spans="1:25" ht="15.75" x14ac:dyDescent="0.25">
      <c r="A196" s="4">
        <f>Données_Planning!A194</f>
        <v>0</v>
      </c>
      <c r="B196" s="6">
        <f>Données_Planning!B194</f>
        <v>0</v>
      </c>
      <c r="C196" s="28">
        <f>Données_Planning!C194</f>
        <v>0</v>
      </c>
      <c r="D196" s="50">
        <f t="shared" si="18"/>
        <v>0</v>
      </c>
      <c r="E196" s="51">
        <f t="shared" si="19"/>
        <v>0</v>
      </c>
      <c r="F196" s="52">
        <f t="shared" si="20"/>
        <v>0</v>
      </c>
      <c r="G196" s="47">
        <f>Données_Planning!L194</f>
        <v>0</v>
      </c>
      <c r="H196" s="18">
        <f>Données_Planning!H194</f>
        <v>0</v>
      </c>
      <c r="I196" s="5">
        <f>Données_Planning!D194</f>
        <v>0</v>
      </c>
      <c r="J196" s="22">
        <f>Données_Planning!F194</f>
        <v>0</v>
      </c>
      <c r="K196" s="22">
        <f>Données_Planning!E194</f>
        <v>0</v>
      </c>
      <c r="L196" s="35">
        <f>Données_Planning!G194</f>
        <v>0</v>
      </c>
      <c r="M196" s="37">
        <f>(IF(OR(A196="DWF",A196="DNF"),0,QUOTIENT(Données_Planning!J194,60)))</f>
        <v>0</v>
      </c>
      <c r="N196" s="7" t="str">
        <f t="shared" si="21"/>
        <v>min</v>
      </c>
      <c r="O196" s="36">
        <f>(IF(OR(A196="DWF",A196="DNF"),Données_Planning!J194,MOD(Données_Planning!J194,60)))</f>
        <v>0</v>
      </c>
      <c r="P196" s="28" t="str">
        <f t="shared" si="22"/>
        <v>s</v>
      </c>
      <c r="Q196" s="37">
        <f>(IF(OR(A196="DWF",A196="DNF"),0,QUOTIENT(Données_Planning!I194,60)))</f>
        <v>0</v>
      </c>
      <c r="R196" s="7" t="str">
        <f t="shared" si="23"/>
        <v>min</v>
      </c>
      <c r="S196" s="36">
        <f>(IF(OR(A196="DWF",A196="DNF"),Données_Planning!I194,MOD(Données_Planning!I194,60)))</f>
        <v>0</v>
      </c>
      <c r="T196" s="28" t="str">
        <f t="shared" si="24"/>
        <v>s</v>
      </c>
      <c r="U196" s="37">
        <f>(IF(OR(A196="DWF",A196="DNF"),0,QUOTIENT(Données_Planning!K194,60)))</f>
        <v>0</v>
      </c>
      <c r="V196" s="7" t="str">
        <f t="shared" si="25"/>
        <v>min</v>
      </c>
      <c r="W196" s="36">
        <f>(IF(OR(A196="DWF",A196="DNF"),Données_Planning!K194,MOD(Données_Planning!K194,60)))</f>
        <v>0</v>
      </c>
      <c r="X196" s="38" t="str">
        <f t="shared" si="26"/>
        <v>s</v>
      </c>
      <c r="Y196" s="42"/>
    </row>
    <row r="197" spans="1:25" ht="15.75" x14ac:dyDescent="0.25">
      <c r="A197" s="4">
        <f>Données_Planning!A195</f>
        <v>0</v>
      </c>
      <c r="B197" s="6">
        <f>Données_Planning!B195</f>
        <v>0</v>
      </c>
      <c r="C197" s="28">
        <f>Données_Planning!C195</f>
        <v>0</v>
      </c>
      <c r="D197" s="50">
        <f t="shared" ref="D197:D260" si="27">IF(G197 -TIME(0,$D$3,0)&gt;0, G197 -TIME(0,$D$3,0), 0)</f>
        <v>0</v>
      </c>
      <c r="E197" s="51">
        <f t="shared" ref="E197:E260" si="28">IF(G197 -TIME(0,$E$3,0)&gt;0, G197 -TIME(0,$E$3,0), 0)</f>
        <v>0</v>
      </c>
      <c r="F197" s="52">
        <f t="shared" ref="F197:F260" si="29">IF(G197 -TIME(0,$F$3,0)&gt;0, G197 -TIME(0,$F$3,0), 0)</f>
        <v>0</v>
      </c>
      <c r="G197" s="47">
        <f>Données_Planning!L195</f>
        <v>0</v>
      </c>
      <c r="H197" s="18">
        <f>Données_Planning!H195</f>
        <v>0</v>
      </c>
      <c r="I197" s="5">
        <f>Données_Planning!D195</f>
        <v>0</v>
      </c>
      <c r="J197" s="22">
        <f>Données_Planning!F195</f>
        <v>0</v>
      </c>
      <c r="K197" s="22">
        <f>Données_Planning!E195</f>
        <v>0</v>
      </c>
      <c r="L197" s="35">
        <f>Données_Planning!G195</f>
        <v>0</v>
      </c>
      <c r="M197" s="37">
        <f>(IF(OR(A197="DWF",A197="DNF"),0,QUOTIENT(Données_Planning!J195,60)))</f>
        <v>0</v>
      </c>
      <c r="N197" s="7" t="str">
        <f t="shared" ref="N197:N260" si="30">(IF(OR(A197="DWF",A197="DNF"),0,"min"))</f>
        <v>min</v>
      </c>
      <c r="O197" s="36">
        <f>(IF(OR(A197="DWF",A197="DNF"),Données_Planning!J195,MOD(Données_Planning!J195,60)))</f>
        <v>0</v>
      </c>
      <c r="P197" s="28" t="str">
        <f t="shared" ref="P197:P260" si="31">(IF(OR(A197="DWF",A197="DNF"),"m","s"))</f>
        <v>s</v>
      </c>
      <c r="Q197" s="37">
        <f>(IF(OR(A197="DWF",A197="DNF"),0,QUOTIENT(Données_Planning!I195,60)))</f>
        <v>0</v>
      </c>
      <c r="R197" s="7" t="str">
        <f t="shared" ref="R197:R260" si="32">(IF(OR(A197="DWF",A197="DNF"),0,"min"))</f>
        <v>min</v>
      </c>
      <c r="S197" s="36">
        <f>(IF(OR(A197="DWF",A197="DNF"),Données_Planning!I195,MOD(Données_Planning!I195,60)))</f>
        <v>0</v>
      </c>
      <c r="T197" s="28" t="str">
        <f t="shared" ref="T197:T260" si="33">(IF(OR(A197="DWF",A197="DNF"),"m","s"))</f>
        <v>s</v>
      </c>
      <c r="U197" s="37">
        <f>(IF(OR(A197="DWF",A197="DNF"),0,QUOTIENT(Données_Planning!K195,60)))</f>
        <v>0</v>
      </c>
      <c r="V197" s="7" t="str">
        <f t="shared" ref="V197:V260" si="34">(IF(OR(A197="DWF",A197="DNF"),0,"min"))</f>
        <v>min</v>
      </c>
      <c r="W197" s="36">
        <f>(IF(OR(A197="DWF",A197="DNF"),Données_Planning!K195,MOD(Données_Planning!K195,60)))</f>
        <v>0</v>
      </c>
      <c r="X197" s="38" t="str">
        <f t="shared" ref="X197:X260" si="35">(IF(OR(A197="DWF",A197="DNF"),"m","s"))</f>
        <v>s</v>
      </c>
      <c r="Y197" s="42"/>
    </row>
    <row r="198" spans="1:25" ht="15.75" x14ac:dyDescent="0.25">
      <c r="A198" s="4">
        <f>Données_Planning!A196</f>
        <v>0</v>
      </c>
      <c r="B198" s="6">
        <f>Données_Planning!B196</f>
        <v>0</v>
      </c>
      <c r="C198" s="28">
        <f>Données_Planning!C196</f>
        <v>0</v>
      </c>
      <c r="D198" s="50">
        <f t="shared" si="27"/>
        <v>0</v>
      </c>
      <c r="E198" s="51">
        <f t="shared" si="28"/>
        <v>0</v>
      </c>
      <c r="F198" s="52">
        <f t="shared" si="29"/>
        <v>0</v>
      </c>
      <c r="G198" s="47">
        <f>Données_Planning!L196</f>
        <v>0</v>
      </c>
      <c r="H198" s="18">
        <f>Données_Planning!H196</f>
        <v>0</v>
      </c>
      <c r="I198" s="5">
        <f>Données_Planning!D196</f>
        <v>0</v>
      </c>
      <c r="J198" s="22">
        <f>Données_Planning!F196</f>
        <v>0</v>
      </c>
      <c r="K198" s="22">
        <f>Données_Planning!E196</f>
        <v>0</v>
      </c>
      <c r="L198" s="35">
        <f>Données_Planning!G196</f>
        <v>0</v>
      </c>
      <c r="M198" s="37">
        <f>(IF(OR(A198="DWF",A198="DNF"),0,QUOTIENT(Données_Planning!J196,60)))</f>
        <v>0</v>
      </c>
      <c r="N198" s="7" t="str">
        <f t="shared" si="30"/>
        <v>min</v>
      </c>
      <c r="O198" s="36">
        <f>(IF(OR(A198="DWF",A198="DNF"),Données_Planning!J196,MOD(Données_Planning!J196,60)))</f>
        <v>0</v>
      </c>
      <c r="P198" s="28" t="str">
        <f t="shared" si="31"/>
        <v>s</v>
      </c>
      <c r="Q198" s="37">
        <f>(IF(OR(A198="DWF",A198="DNF"),0,QUOTIENT(Données_Planning!I196,60)))</f>
        <v>0</v>
      </c>
      <c r="R198" s="7" t="str">
        <f t="shared" si="32"/>
        <v>min</v>
      </c>
      <c r="S198" s="36">
        <f>(IF(OR(A198="DWF",A198="DNF"),Données_Planning!I196,MOD(Données_Planning!I196,60)))</f>
        <v>0</v>
      </c>
      <c r="T198" s="28" t="str">
        <f t="shared" si="33"/>
        <v>s</v>
      </c>
      <c r="U198" s="37">
        <f>(IF(OR(A198="DWF",A198="DNF"),0,QUOTIENT(Données_Planning!K196,60)))</f>
        <v>0</v>
      </c>
      <c r="V198" s="7" t="str">
        <f t="shared" si="34"/>
        <v>min</v>
      </c>
      <c r="W198" s="36">
        <f>(IF(OR(A198="DWF",A198="DNF"),Données_Planning!K196,MOD(Données_Planning!K196,60)))</f>
        <v>0</v>
      </c>
      <c r="X198" s="38" t="str">
        <f t="shared" si="35"/>
        <v>s</v>
      </c>
      <c r="Y198" s="42"/>
    </row>
    <row r="199" spans="1:25" ht="15.75" x14ac:dyDescent="0.25">
      <c r="A199" s="4">
        <f>Données_Planning!A197</f>
        <v>0</v>
      </c>
      <c r="B199" s="6">
        <f>Données_Planning!B197</f>
        <v>0</v>
      </c>
      <c r="C199" s="28">
        <f>Données_Planning!C197</f>
        <v>0</v>
      </c>
      <c r="D199" s="50">
        <f t="shared" si="27"/>
        <v>0</v>
      </c>
      <c r="E199" s="51">
        <f t="shared" si="28"/>
        <v>0</v>
      </c>
      <c r="F199" s="52">
        <f t="shared" si="29"/>
        <v>0</v>
      </c>
      <c r="G199" s="47">
        <f>Données_Planning!L197</f>
        <v>0</v>
      </c>
      <c r="H199" s="18">
        <f>Données_Planning!H197</f>
        <v>0</v>
      </c>
      <c r="I199" s="5">
        <f>Données_Planning!D197</f>
        <v>0</v>
      </c>
      <c r="J199" s="22">
        <f>Données_Planning!F197</f>
        <v>0</v>
      </c>
      <c r="K199" s="22">
        <f>Données_Planning!E197</f>
        <v>0</v>
      </c>
      <c r="L199" s="35">
        <f>Données_Planning!G197</f>
        <v>0</v>
      </c>
      <c r="M199" s="37">
        <f>(IF(OR(A199="DWF",A199="DNF"),0,QUOTIENT(Données_Planning!J197,60)))</f>
        <v>0</v>
      </c>
      <c r="N199" s="7" t="str">
        <f t="shared" si="30"/>
        <v>min</v>
      </c>
      <c r="O199" s="36">
        <f>(IF(OR(A199="DWF",A199="DNF"),Données_Planning!J197,MOD(Données_Planning!J197,60)))</f>
        <v>0</v>
      </c>
      <c r="P199" s="28" t="str">
        <f t="shared" si="31"/>
        <v>s</v>
      </c>
      <c r="Q199" s="37">
        <f>(IF(OR(A199="DWF",A199="DNF"),0,QUOTIENT(Données_Planning!I197,60)))</f>
        <v>0</v>
      </c>
      <c r="R199" s="7" t="str">
        <f t="shared" si="32"/>
        <v>min</v>
      </c>
      <c r="S199" s="36">
        <f>(IF(OR(A199="DWF",A199="DNF"),Données_Planning!I197,MOD(Données_Planning!I197,60)))</f>
        <v>0</v>
      </c>
      <c r="T199" s="28" t="str">
        <f t="shared" si="33"/>
        <v>s</v>
      </c>
      <c r="U199" s="37">
        <f>(IF(OR(A199="DWF",A199="DNF"),0,QUOTIENT(Données_Planning!K197,60)))</f>
        <v>0</v>
      </c>
      <c r="V199" s="7" t="str">
        <f t="shared" si="34"/>
        <v>min</v>
      </c>
      <c r="W199" s="36">
        <f>(IF(OR(A199="DWF",A199="DNF"),Données_Planning!K197,MOD(Données_Planning!K197,60)))</f>
        <v>0</v>
      </c>
      <c r="X199" s="38" t="str">
        <f t="shared" si="35"/>
        <v>s</v>
      </c>
      <c r="Y199" s="42"/>
    </row>
    <row r="200" spans="1:25" ht="15.75" x14ac:dyDescent="0.25">
      <c r="A200" s="4">
        <f>Données_Planning!A198</f>
        <v>0</v>
      </c>
      <c r="B200" s="6">
        <f>Données_Planning!B198</f>
        <v>0</v>
      </c>
      <c r="C200" s="28">
        <f>Données_Planning!C198</f>
        <v>0</v>
      </c>
      <c r="D200" s="50">
        <f t="shared" si="27"/>
        <v>0</v>
      </c>
      <c r="E200" s="51">
        <f t="shared" si="28"/>
        <v>0</v>
      </c>
      <c r="F200" s="52">
        <f t="shared" si="29"/>
        <v>0</v>
      </c>
      <c r="G200" s="47">
        <f>Données_Planning!L198</f>
        <v>0</v>
      </c>
      <c r="H200" s="18">
        <f>Données_Planning!H198</f>
        <v>0</v>
      </c>
      <c r="I200" s="5">
        <f>Données_Planning!D198</f>
        <v>0</v>
      </c>
      <c r="J200" s="22">
        <f>Données_Planning!F198</f>
        <v>0</v>
      </c>
      <c r="K200" s="22">
        <f>Données_Planning!E198</f>
        <v>0</v>
      </c>
      <c r="L200" s="35">
        <f>Données_Planning!G198</f>
        <v>0</v>
      </c>
      <c r="M200" s="37">
        <f>(IF(OR(A200="DWF",A200="DNF"),0,QUOTIENT(Données_Planning!J198,60)))</f>
        <v>0</v>
      </c>
      <c r="N200" s="7" t="str">
        <f t="shared" si="30"/>
        <v>min</v>
      </c>
      <c r="O200" s="36">
        <f>(IF(OR(A200="DWF",A200="DNF"),Données_Planning!J198,MOD(Données_Planning!J198,60)))</f>
        <v>0</v>
      </c>
      <c r="P200" s="28" t="str">
        <f t="shared" si="31"/>
        <v>s</v>
      </c>
      <c r="Q200" s="37">
        <f>(IF(OR(A200="DWF",A200="DNF"),0,QUOTIENT(Données_Planning!I198,60)))</f>
        <v>0</v>
      </c>
      <c r="R200" s="7" t="str">
        <f t="shared" si="32"/>
        <v>min</v>
      </c>
      <c r="S200" s="36">
        <f>(IF(OR(A200="DWF",A200="DNF"),Données_Planning!I198,MOD(Données_Planning!I198,60)))</f>
        <v>0</v>
      </c>
      <c r="T200" s="28" t="str">
        <f t="shared" si="33"/>
        <v>s</v>
      </c>
      <c r="U200" s="37">
        <f>(IF(OR(A200="DWF",A200="DNF"),0,QUOTIENT(Données_Planning!K198,60)))</f>
        <v>0</v>
      </c>
      <c r="V200" s="7" t="str">
        <f t="shared" si="34"/>
        <v>min</v>
      </c>
      <c r="W200" s="36">
        <f>(IF(OR(A200="DWF",A200="DNF"),Données_Planning!K198,MOD(Données_Planning!K198,60)))</f>
        <v>0</v>
      </c>
      <c r="X200" s="38" t="str">
        <f t="shared" si="35"/>
        <v>s</v>
      </c>
      <c r="Y200" s="42"/>
    </row>
    <row r="201" spans="1:25" ht="15.75" x14ac:dyDescent="0.25">
      <c r="A201" s="4">
        <f>Données_Planning!A199</f>
        <v>0</v>
      </c>
      <c r="B201" s="6">
        <f>Données_Planning!B199</f>
        <v>0</v>
      </c>
      <c r="C201" s="28">
        <f>Données_Planning!C199</f>
        <v>0</v>
      </c>
      <c r="D201" s="50">
        <f t="shared" si="27"/>
        <v>0</v>
      </c>
      <c r="E201" s="51">
        <f t="shared" si="28"/>
        <v>0</v>
      </c>
      <c r="F201" s="52">
        <f t="shared" si="29"/>
        <v>0</v>
      </c>
      <c r="G201" s="47">
        <f>Données_Planning!L199</f>
        <v>0</v>
      </c>
      <c r="H201" s="18">
        <f>Données_Planning!H199</f>
        <v>0</v>
      </c>
      <c r="I201" s="5">
        <f>Données_Planning!D199</f>
        <v>0</v>
      </c>
      <c r="J201" s="22">
        <f>Données_Planning!F199</f>
        <v>0</v>
      </c>
      <c r="K201" s="22">
        <f>Données_Planning!E199</f>
        <v>0</v>
      </c>
      <c r="L201" s="35">
        <f>Données_Planning!G199</f>
        <v>0</v>
      </c>
      <c r="M201" s="37">
        <f>(IF(OR(A201="DWF",A201="DNF"),0,QUOTIENT(Données_Planning!J199,60)))</f>
        <v>0</v>
      </c>
      <c r="N201" s="7" t="str">
        <f t="shared" si="30"/>
        <v>min</v>
      </c>
      <c r="O201" s="36">
        <f>(IF(OR(A201="DWF",A201="DNF"),Données_Planning!J199,MOD(Données_Planning!J199,60)))</f>
        <v>0</v>
      </c>
      <c r="P201" s="28" t="str">
        <f t="shared" si="31"/>
        <v>s</v>
      </c>
      <c r="Q201" s="37">
        <f>(IF(OR(A201="DWF",A201="DNF"),0,QUOTIENT(Données_Planning!I199,60)))</f>
        <v>0</v>
      </c>
      <c r="R201" s="7" t="str">
        <f t="shared" si="32"/>
        <v>min</v>
      </c>
      <c r="S201" s="36">
        <f>(IF(OR(A201="DWF",A201="DNF"),Données_Planning!I199,MOD(Données_Planning!I199,60)))</f>
        <v>0</v>
      </c>
      <c r="T201" s="28" t="str">
        <f t="shared" si="33"/>
        <v>s</v>
      </c>
      <c r="U201" s="37">
        <f>(IF(OR(A201="DWF",A201="DNF"),0,QUOTIENT(Données_Planning!K199,60)))</f>
        <v>0</v>
      </c>
      <c r="V201" s="7" t="str">
        <f t="shared" si="34"/>
        <v>min</v>
      </c>
      <c r="W201" s="36">
        <f>(IF(OR(A201="DWF",A201="DNF"),Données_Planning!K199,MOD(Données_Planning!K199,60)))</f>
        <v>0</v>
      </c>
      <c r="X201" s="38" t="str">
        <f t="shared" si="35"/>
        <v>s</v>
      </c>
      <c r="Y201" s="42"/>
    </row>
    <row r="202" spans="1:25" ht="15.75" x14ac:dyDescent="0.25">
      <c r="A202" s="4">
        <f>Données_Planning!A200</f>
        <v>0</v>
      </c>
      <c r="B202" s="6">
        <f>Données_Planning!B200</f>
        <v>0</v>
      </c>
      <c r="C202" s="28">
        <f>Données_Planning!C200</f>
        <v>0</v>
      </c>
      <c r="D202" s="50">
        <f t="shared" si="27"/>
        <v>0</v>
      </c>
      <c r="E202" s="51">
        <f t="shared" si="28"/>
        <v>0</v>
      </c>
      <c r="F202" s="52">
        <f t="shared" si="29"/>
        <v>0</v>
      </c>
      <c r="G202" s="47">
        <f>Données_Planning!L200</f>
        <v>0</v>
      </c>
      <c r="H202" s="18">
        <f>Données_Planning!H200</f>
        <v>0</v>
      </c>
      <c r="I202" s="5">
        <f>Données_Planning!D200</f>
        <v>0</v>
      </c>
      <c r="J202" s="22">
        <f>Données_Planning!F200</f>
        <v>0</v>
      </c>
      <c r="K202" s="22">
        <f>Données_Planning!E200</f>
        <v>0</v>
      </c>
      <c r="L202" s="35">
        <f>Données_Planning!G200</f>
        <v>0</v>
      </c>
      <c r="M202" s="37">
        <f>(IF(OR(A202="DWF",A202="DNF"),0,QUOTIENT(Données_Planning!J200,60)))</f>
        <v>0</v>
      </c>
      <c r="N202" s="7" t="str">
        <f t="shared" si="30"/>
        <v>min</v>
      </c>
      <c r="O202" s="36">
        <f>(IF(OR(A202="DWF",A202="DNF"),Données_Planning!J200,MOD(Données_Planning!J200,60)))</f>
        <v>0</v>
      </c>
      <c r="P202" s="28" t="str">
        <f t="shared" si="31"/>
        <v>s</v>
      </c>
      <c r="Q202" s="37">
        <f>(IF(OR(A202="DWF",A202="DNF"),0,QUOTIENT(Données_Planning!I200,60)))</f>
        <v>0</v>
      </c>
      <c r="R202" s="7" t="str">
        <f t="shared" si="32"/>
        <v>min</v>
      </c>
      <c r="S202" s="36">
        <f>(IF(OR(A202="DWF",A202="DNF"),Données_Planning!I200,MOD(Données_Planning!I200,60)))</f>
        <v>0</v>
      </c>
      <c r="T202" s="28" t="str">
        <f t="shared" si="33"/>
        <v>s</v>
      </c>
      <c r="U202" s="37">
        <f>(IF(OR(A202="DWF",A202="DNF"),0,QUOTIENT(Données_Planning!K200,60)))</f>
        <v>0</v>
      </c>
      <c r="V202" s="7" t="str">
        <f t="shared" si="34"/>
        <v>min</v>
      </c>
      <c r="W202" s="36">
        <f>(IF(OR(A202="DWF",A202="DNF"),Données_Planning!K200,MOD(Données_Planning!K200,60)))</f>
        <v>0</v>
      </c>
      <c r="X202" s="38" t="str">
        <f t="shared" si="35"/>
        <v>s</v>
      </c>
      <c r="Y202" s="42"/>
    </row>
    <row r="203" spans="1:25" ht="15.75" x14ac:dyDescent="0.25">
      <c r="A203" s="4">
        <f>Données_Planning!A201</f>
        <v>0</v>
      </c>
      <c r="B203" s="6">
        <f>Données_Planning!B201</f>
        <v>0</v>
      </c>
      <c r="C203" s="28">
        <f>Données_Planning!C201</f>
        <v>0</v>
      </c>
      <c r="D203" s="50">
        <f t="shared" si="27"/>
        <v>0</v>
      </c>
      <c r="E203" s="51">
        <f t="shared" si="28"/>
        <v>0</v>
      </c>
      <c r="F203" s="52">
        <f t="shared" si="29"/>
        <v>0</v>
      </c>
      <c r="G203" s="47">
        <f>Données_Planning!L201</f>
        <v>0</v>
      </c>
      <c r="H203" s="18">
        <f>Données_Planning!H201</f>
        <v>0</v>
      </c>
      <c r="I203" s="5">
        <f>Données_Planning!D201</f>
        <v>0</v>
      </c>
      <c r="J203" s="22">
        <f>Données_Planning!F201</f>
        <v>0</v>
      </c>
      <c r="K203" s="22">
        <f>Données_Planning!E201</f>
        <v>0</v>
      </c>
      <c r="L203" s="35">
        <f>Données_Planning!G201</f>
        <v>0</v>
      </c>
      <c r="M203" s="37">
        <f>(IF(OR(A203="DWF",A203="DNF"),0,QUOTIENT(Données_Planning!J201,60)))</f>
        <v>0</v>
      </c>
      <c r="N203" s="7" t="str">
        <f t="shared" si="30"/>
        <v>min</v>
      </c>
      <c r="O203" s="36">
        <f>(IF(OR(A203="DWF",A203="DNF"),Données_Planning!J201,MOD(Données_Planning!J201,60)))</f>
        <v>0</v>
      </c>
      <c r="P203" s="28" t="str">
        <f t="shared" si="31"/>
        <v>s</v>
      </c>
      <c r="Q203" s="37">
        <f>(IF(OR(A203="DWF",A203="DNF"),0,QUOTIENT(Données_Planning!I201,60)))</f>
        <v>0</v>
      </c>
      <c r="R203" s="7" t="str">
        <f t="shared" si="32"/>
        <v>min</v>
      </c>
      <c r="S203" s="36">
        <f>(IF(OR(A203="DWF",A203="DNF"),Données_Planning!I201,MOD(Données_Planning!I201,60)))</f>
        <v>0</v>
      </c>
      <c r="T203" s="28" t="str">
        <f t="shared" si="33"/>
        <v>s</v>
      </c>
      <c r="U203" s="37">
        <f>(IF(OR(A203="DWF",A203="DNF"),0,QUOTIENT(Données_Planning!K201,60)))</f>
        <v>0</v>
      </c>
      <c r="V203" s="7" t="str">
        <f t="shared" si="34"/>
        <v>min</v>
      </c>
      <c r="W203" s="36">
        <f>(IF(OR(A203="DWF",A203="DNF"),Données_Planning!K201,MOD(Données_Planning!K201,60)))</f>
        <v>0</v>
      </c>
      <c r="X203" s="38" t="str">
        <f t="shared" si="35"/>
        <v>s</v>
      </c>
      <c r="Y203" s="42"/>
    </row>
    <row r="204" spans="1:25" ht="15.75" x14ac:dyDescent="0.25">
      <c r="A204" s="4">
        <f>Données_Planning!A202</f>
        <v>0</v>
      </c>
      <c r="B204" s="6">
        <f>Données_Planning!B202</f>
        <v>0</v>
      </c>
      <c r="C204" s="28">
        <f>Données_Planning!C202</f>
        <v>0</v>
      </c>
      <c r="D204" s="50">
        <f t="shared" si="27"/>
        <v>0</v>
      </c>
      <c r="E204" s="51">
        <f t="shared" si="28"/>
        <v>0</v>
      </c>
      <c r="F204" s="52">
        <f t="shared" si="29"/>
        <v>0</v>
      </c>
      <c r="G204" s="47">
        <f>Données_Planning!L202</f>
        <v>0</v>
      </c>
      <c r="H204" s="18">
        <f>Données_Planning!H202</f>
        <v>0</v>
      </c>
      <c r="I204" s="5">
        <f>Données_Planning!D202</f>
        <v>0</v>
      </c>
      <c r="J204" s="22">
        <f>Données_Planning!F202</f>
        <v>0</v>
      </c>
      <c r="K204" s="22">
        <f>Données_Planning!E202</f>
        <v>0</v>
      </c>
      <c r="L204" s="35">
        <f>Données_Planning!G202</f>
        <v>0</v>
      </c>
      <c r="M204" s="37">
        <f>(IF(OR(A204="DWF",A204="DNF"),0,QUOTIENT(Données_Planning!J202,60)))</f>
        <v>0</v>
      </c>
      <c r="N204" s="7" t="str">
        <f t="shared" si="30"/>
        <v>min</v>
      </c>
      <c r="O204" s="36">
        <f>(IF(OR(A204="DWF",A204="DNF"),Données_Planning!J202,MOD(Données_Planning!J202,60)))</f>
        <v>0</v>
      </c>
      <c r="P204" s="28" t="str">
        <f t="shared" si="31"/>
        <v>s</v>
      </c>
      <c r="Q204" s="37">
        <f>(IF(OR(A204="DWF",A204="DNF"),0,QUOTIENT(Données_Planning!I202,60)))</f>
        <v>0</v>
      </c>
      <c r="R204" s="7" t="str">
        <f t="shared" si="32"/>
        <v>min</v>
      </c>
      <c r="S204" s="36">
        <f>(IF(OR(A204="DWF",A204="DNF"),Données_Planning!I202,MOD(Données_Planning!I202,60)))</f>
        <v>0</v>
      </c>
      <c r="T204" s="28" t="str">
        <f t="shared" si="33"/>
        <v>s</v>
      </c>
      <c r="U204" s="37">
        <f>(IF(OR(A204="DWF",A204="DNF"),0,QUOTIENT(Données_Planning!K202,60)))</f>
        <v>0</v>
      </c>
      <c r="V204" s="7" t="str">
        <f t="shared" si="34"/>
        <v>min</v>
      </c>
      <c r="W204" s="36">
        <f>(IF(OR(A204="DWF",A204="DNF"),Données_Planning!K202,MOD(Données_Planning!K202,60)))</f>
        <v>0</v>
      </c>
      <c r="X204" s="38" t="str">
        <f t="shared" si="35"/>
        <v>s</v>
      </c>
      <c r="Y204" s="42"/>
    </row>
    <row r="205" spans="1:25" ht="15.75" x14ac:dyDescent="0.25">
      <c r="A205" s="4">
        <f>Données_Planning!A203</f>
        <v>0</v>
      </c>
      <c r="B205" s="6">
        <f>Données_Planning!B203</f>
        <v>0</v>
      </c>
      <c r="C205" s="28">
        <f>Données_Planning!C203</f>
        <v>0</v>
      </c>
      <c r="D205" s="50">
        <f t="shared" si="27"/>
        <v>0</v>
      </c>
      <c r="E205" s="51">
        <f t="shared" si="28"/>
        <v>0</v>
      </c>
      <c r="F205" s="52">
        <f t="shared" si="29"/>
        <v>0</v>
      </c>
      <c r="G205" s="47">
        <f>Données_Planning!L203</f>
        <v>0</v>
      </c>
      <c r="H205" s="18">
        <f>Données_Planning!H203</f>
        <v>0</v>
      </c>
      <c r="I205" s="5">
        <f>Données_Planning!D203</f>
        <v>0</v>
      </c>
      <c r="J205" s="22">
        <f>Données_Planning!F203</f>
        <v>0</v>
      </c>
      <c r="K205" s="22">
        <f>Données_Planning!E203</f>
        <v>0</v>
      </c>
      <c r="L205" s="35">
        <f>Données_Planning!G203</f>
        <v>0</v>
      </c>
      <c r="M205" s="37">
        <f>(IF(OR(A205="DWF",A205="DNF"),0,QUOTIENT(Données_Planning!J203,60)))</f>
        <v>0</v>
      </c>
      <c r="N205" s="7" t="str">
        <f t="shared" si="30"/>
        <v>min</v>
      </c>
      <c r="O205" s="36">
        <f>(IF(OR(A205="DWF",A205="DNF"),Données_Planning!J203,MOD(Données_Planning!J203,60)))</f>
        <v>0</v>
      </c>
      <c r="P205" s="28" t="str">
        <f t="shared" si="31"/>
        <v>s</v>
      </c>
      <c r="Q205" s="37">
        <f>(IF(OR(A205="DWF",A205="DNF"),0,QUOTIENT(Données_Planning!I203,60)))</f>
        <v>0</v>
      </c>
      <c r="R205" s="7" t="str">
        <f t="shared" si="32"/>
        <v>min</v>
      </c>
      <c r="S205" s="36">
        <f>(IF(OR(A205="DWF",A205="DNF"),Données_Planning!I203,MOD(Données_Planning!I203,60)))</f>
        <v>0</v>
      </c>
      <c r="T205" s="28" t="str">
        <f t="shared" si="33"/>
        <v>s</v>
      </c>
      <c r="U205" s="37">
        <f>(IF(OR(A205="DWF",A205="DNF"),0,QUOTIENT(Données_Planning!K203,60)))</f>
        <v>0</v>
      </c>
      <c r="V205" s="7" t="str">
        <f t="shared" si="34"/>
        <v>min</v>
      </c>
      <c r="W205" s="36">
        <f>(IF(OR(A205="DWF",A205="DNF"),Données_Planning!K203,MOD(Données_Planning!K203,60)))</f>
        <v>0</v>
      </c>
      <c r="X205" s="38" t="str">
        <f t="shared" si="35"/>
        <v>s</v>
      </c>
      <c r="Y205" s="42"/>
    </row>
    <row r="206" spans="1:25" ht="15.75" x14ac:dyDescent="0.25">
      <c r="A206" s="4">
        <f>Données_Planning!A204</f>
        <v>0</v>
      </c>
      <c r="B206" s="6">
        <f>Données_Planning!B204</f>
        <v>0</v>
      </c>
      <c r="C206" s="28">
        <f>Données_Planning!C204</f>
        <v>0</v>
      </c>
      <c r="D206" s="50">
        <f t="shared" si="27"/>
        <v>0</v>
      </c>
      <c r="E206" s="51">
        <f t="shared" si="28"/>
        <v>0</v>
      </c>
      <c r="F206" s="52">
        <f t="shared" si="29"/>
        <v>0</v>
      </c>
      <c r="G206" s="47">
        <f>Données_Planning!L204</f>
        <v>0</v>
      </c>
      <c r="H206" s="18">
        <f>Données_Planning!H204</f>
        <v>0</v>
      </c>
      <c r="I206" s="5">
        <f>Données_Planning!D204</f>
        <v>0</v>
      </c>
      <c r="J206" s="22">
        <f>Données_Planning!F204</f>
        <v>0</v>
      </c>
      <c r="K206" s="22">
        <f>Données_Planning!E204</f>
        <v>0</v>
      </c>
      <c r="L206" s="35">
        <f>Données_Planning!G204</f>
        <v>0</v>
      </c>
      <c r="M206" s="37">
        <f>(IF(OR(A206="DWF",A206="DNF"),0,QUOTIENT(Données_Planning!J204,60)))</f>
        <v>0</v>
      </c>
      <c r="N206" s="7" t="str">
        <f t="shared" si="30"/>
        <v>min</v>
      </c>
      <c r="O206" s="36">
        <f>(IF(OR(A206="DWF",A206="DNF"),Données_Planning!J204,MOD(Données_Planning!J204,60)))</f>
        <v>0</v>
      </c>
      <c r="P206" s="28" t="str">
        <f t="shared" si="31"/>
        <v>s</v>
      </c>
      <c r="Q206" s="37">
        <f>(IF(OR(A206="DWF",A206="DNF"),0,QUOTIENT(Données_Planning!I204,60)))</f>
        <v>0</v>
      </c>
      <c r="R206" s="7" t="str">
        <f t="shared" si="32"/>
        <v>min</v>
      </c>
      <c r="S206" s="36">
        <f>(IF(OR(A206="DWF",A206="DNF"),Données_Planning!I204,MOD(Données_Planning!I204,60)))</f>
        <v>0</v>
      </c>
      <c r="T206" s="28" t="str">
        <f t="shared" si="33"/>
        <v>s</v>
      </c>
      <c r="U206" s="37">
        <f>(IF(OR(A206="DWF",A206="DNF"),0,QUOTIENT(Données_Planning!K204,60)))</f>
        <v>0</v>
      </c>
      <c r="V206" s="7" t="str">
        <f t="shared" si="34"/>
        <v>min</v>
      </c>
      <c r="W206" s="36">
        <f>(IF(OR(A206="DWF",A206="DNF"),Données_Planning!K204,MOD(Données_Planning!K204,60)))</f>
        <v>0</v>
      </c>
      <c r="X206" s="38" t="str">
        <f t="shared" si="35"/>
        <v>s</v>
      </c>
      <c r="Y206" s="42"/>
    </row>
    <row r="207" spans="1:25" ht="15.75" x14ac:dyDescent="0.25">
      <c r="A207" s="4">
        <f>Données_Planning!A205</f>
        <v>0</v>
      </c>
      <c r="B207" s="6">
        <f>Données_Planning!B205</f>
        <v>0</v>
      </c>
      <c r="C207" s="28">
        <f>Données_Planning!C205</f>
        <v>0</v>
      </c>
      <c r="D207" s="50">
        <f t="shared" si="27"/>
        <v>0</v>
      </c>
      <c r="E207" s="51">
        <f t="shared" si="28"/>
        <v>0</v>
      </c>
      <c r="F207" s="52">
        <f t="shared" si="29"/>
        <v>0</v>
      </c>
      <c r="G207" s="47">
        <f>Données_Planning!L205</f>
        <v>0</v>
      </c>
      <c r="H207" s="18">
        <f>Données_Planning!H205</f>
        <v>0</v>
      </c>
      <c r="I207" s="5">
        <f>Données_Planning!D205</f>
        <v>0</v>
      </c>
      <c r="J207" s="22">
        <f>Données_Planning!F205</f>
        <v>0</v>
      </c>
      <c r="K207" s="22">
        <f>Données_Planning!E205</f>
        <v>0</v>
      </c>
      <c r="L207" s="35">
        <f>Données_Planning!G205</f>
        <v>0</v>
      </c>
      <c r="M207" s="37">
        <f>(IF(OR(A207="DWF",A207="DNF"),0,QUOTIENT(Données_Planning!J205,60)))</f>
        <v>0</v>
      </c>
      <c r="N207" s="7" t="str">
        <f t="shared" si="30"/>
        <v>min</v>
      </c>
      <c r="O207" s="36">
        <f>(IF(OR(A207="DWF",A207="DNF"),Données_Planning!J205,MOD(Données_Planning!J205,60)))</f>
        <v>0</v>
      </c>
      <c r="P207" s="28" t="str">
        <f t="shared" si="31"/>
        <v>s</v>
      </c>
      <c r="Q207" s="37">
        <f>(IF(OR(A207="DWF",A207="DNF"),0,QUOTIENT(Données_Planning!I205,60)))</f>
        <v>0</v>
      </c>
      <c r="R207" s="7" t="str">
        <f t="shared" si="32"/>
        <v>min</v>
      </c>
      <c r="S207" s="36">
        <f>(IF(OR(A207="DWF",A207="DNF"),Données_Planning!I205,MOD(Données_Planning!I205,60)))</f>
        <v>0</v>
      </c>
      <c r="T207" s="28" t="str">
        <f t="shared" si="33"/>
        <v>s</v>
      </c>
      <c r="U207" s="37">
        <f>(IF(OR(A207="DWF",A207="DNF"),0,QUOTIENT(Données_Planning!K205,60)))</f>
        <v>0</v>
      </c>
      <c r="V207" s="7" t="str">
        <f t="shared" si="34"/>
        <v>min</v>
      </c>
      <c r="W207" s="36">
        <f>(IF(OR(A207="DWF",A207="DNF"),Données_Planning!K205,MOD(Données_Planning!K205,60)))</f>
        <v>0</v>
      </c>
      <c r="X207" s="38" t="str">
        <f t="shared" si="35"/>
        <v>s</v>
      </c>
      <c r="Y207" s="42"/>
    </row>
    <row r="208" spans="1:25" ht="15.75" x14ac:dyDescent="0.25">
      <c r="A208" s="4">
        <f>Données_Planning!A206</f>
        <v>0</v>
      </c>
      <c r="B208" s="6">
        <f>Données_Planning!B206</f>
        <v>0</v>
      </c>
      <c r="C208" s="28">
        <f>Données_Planning!C206</f>
        <v>0</v>
      </c>
      <c r="D208" s="50">
        <f t="shared" si="27"/>
        <v>0</v>
      </c>
      <c r="E208" s="51">
        <f t="shared" si="28"/>
        <v>0</v>
      </c>
      <c r="F208" s="52">
        <f t="shared" si="29"/>
        <v>0</v>
      </c>
      <c r="G208" s="47">
        <f>Données_Planning!L206</f>
        <v>0</v>
      </c>
      <c r="H208" s="18">
        <f>Données_Planning!H206</f>
        <v>0</v>
      </c>
      <c r="I208" s="5">
        <f>Données_Planning!D206</f>
        <v>0</v>
      </c>
      <c r="J208" s="22">
        <f>Données_Planning!F206</f>
        <v>0</v>
      </c>
      <c r="K208" s="22">
        <f>Données_Planning!E206</f>
        <v>0</v>
      </c>
      <c r="L208" s="35">
        <f>Données_Planning!G206</f>
        <v>0</v>
      </c>
      <c r="M208" s="37">
        <f>(IF(OR(A208="DWF",A208="DNF"),0,QUOTIENT(Données_Planning!J206,60)))</f>
        <v>0</v>
      </c>
      <c r="N208" s="7" t="str">
        <f t="shared" si="30"/>
        <v>min</v>
      </c>
      <c r="O208" s="36">
        <f>(IF(OR(A208="DWF",A208="DNF"),Données_Planning!J206,MOD(Données_Planning!J206,60)))</f>
        <v>0</v>
      </c>
      <c r="P208" s="28" t="str">
        <f t="shared" si="31"/>
        <v>s</v>
      </c>
      <c r="Q208" s="37">
        <f>(IF(OR(A208="DWF",A208="DNF"),0,QUOTIENT(Données_Planning!I206,60)))</f>
        <v>0</v>
      </c>
      <c r="R208" s="7" t="str">
        <f t="shared" si="32"/>
        <v>min</v>
      </c>
      <c r="S208" s="36">
        <f>(IF(OR(A208="DWF",A208="DNF"),Données_Planning!I206,MOD(Données_Planning!I206,60)))</f>
        <v>0</v>
      </c>
      <c r="T208" s="28" t="str">
        <f t="shared" si="33"/>
        <v>s</v>
      </c>
      <c r="U208" s="37">
        <f>(IF(OR(A208="DWF",A208="DNF"),0,QUOTIENT(Données_Planning!K206,60)))</f>
        <v>0</v>
      </c>
      <c r="V208" s="7" t="str">
        <f t="shared" si="34"/>
        <v>min</v>
      </c>
      <c r="W208" s="36">
        <f>(IF(OR(A208="DWF",A208="DNF"),Données_Planning!K206,MOD(Données_Planning!K206,60)))</f>
        <v>0</v>
      </c>
      <c r="X208" s="38" t="str">
        <f t="shared" si="35"/>
        <v>s</v>
      </c>
      <c r="Y208" s="42"/>
    </row>
    <row r="209" spans="1:25" ht="15.75" x14ac:dyDescent="0.25">
      <c r="A209" s="4">
        <f>Données_Planning!A207</f>
        <v>0</v>
      </c>
      <c r="B209" s="6">
        <f>Données_Planning!B207</f>
        <v>0</v>
      </c>
      <c r="C209" s="28">
        <f>Données_Planning!C207</f>
        <v>0</v>
      </c>
      <c r="D209" s="50">
        <f t="shared" si="27"/>
        <v>0</v>
      </c>
      <c r="E209" s="51">
        <f t="shared" si="28"/>
        <v>0</v>
      </c>
      <c r="F209" s="52">
        <f t="shared" si="29"/>
        <v>0</v>
      </c>
      <c r="G209" s="47">
        <f>Données_Planning!L207</f>
        <v>0</v>
      </c>
      <c r="H209" s="18">
        <f>Données_Planning!H207</f>
        <v>0</v>
      </c>
      <c r="I209" s="5">
        <f>Données_Planning!D207</f>
        <v>0</v>
      </c>
      <c r="J209" s="22">
        <f>Données_Planning!F207</f>
        <v>0</v>
      </c>
      <c r="K209" s="22">
        <f>Données_Planning!E207</f>
        <v>0</v>
      </c>
      <c r="L209" s="35">
        <f>Données_Planning!G207</f>
        <v>0</v>
      </c>
      <c r="M209" s="37">
        <f>(IF(OR(A209="DWF",A209="DNF"),0,QUOTIENT(Données_Planning!J207,60)))</f>
        <v>0</v>
      </c>
      <c r="N209" s="7" t="str">
        <f t="shared" si="30"/>
        <v>min</v>
      </c>
      <c r="O209" s="36">
        <f>(IF(OR(A209="DWF",A209="DNF"),Données_Planning!J207,MOD(Données_Planning!J207,60)))</f>
        <v>0</v>
      </c>
      <c r="P209" s="28" t="str">
        <f t="shared" si="31"/>
        <v>s</v>
      </c>
      <c r="Q209" s="37">
        <f>(IF(OR(A209="DWF",A209="DNF"),0,QUOTIENT(Données_Planning!I207,60)))</f>
        <v>0</v>
      </c>
      <c r="R209" s="7" t="str">
        <f t="shared" si="32"/>
        <v>min</v>
      </c>
      <c r="S209" s="36">
        <f>(IF(OR(A209="DWF",A209="DNF"),Données_Planning!I207,MOD(Données_Planning!I207,60)))</f>
        <v>0</v>
      </c>
      <c r="T209" s="28" t="str">
        <f t="shared" si="33"/>
        <v>s</v>
      </c>
      <c r="U209" s="37">
        <f>(IF(OR(A209="DWF",A209="DNF"),0,QUOTIENT(Données_Planning!K207,60)))</f>
        <v>0</v>
      </c>
      <c r="V209" s="7" t="str">
        <f t="shared" si="34"/>
        <v>min</v>
      </c>
      <c r="W209" s="36">
        <f>(IF(OR(A209="DWF",A209="DNF"),Données_Planning!K207,MOD(Données_Planning!K207,60)))</f>
        <v>0</v>
      </c>
      <c r="X209" s="38" t="str">
        <f t="shared" si="35"/>
        <v>s</v>
      </c>
      <c r="Y209" s="42"/>
    </row>
    <row r="210" spans="1:25" ht="15.75" x14ac:dyDescent="0.25">
      <c r="A210" s="4">
        <f>Données_Planning!A208</f>
        <v>0</v>
      </c>
      <c r="B210" s="6">
        <f>Données_Planning!B208</f>
        <v>0</v>
      </c>
      <c r="C210" s="28">
        <f>Données_Planning!C208</f>
        <v>0</v>
      </c>
      <c r="D210" s="50">
        <f t="shared" si="27"/>
        <v>0</v>
      </c>
      <c r="E210" s="51">
        <f t="shared" si="28"/>
        <v>0</v>
      </c>
      <c r="F210" s="52">
        <f t="shared" si="29"/>
        <v>0</v>
      </c>
      <c r="G210" s="47">
        <f>Données_Planning!L208</f>
        <v>0</v>
      </c>
      <c r="H210" s="18">
        <f>Données_Planning!H208</f>
        <v>0</v>
      </c>
      <c r="I210" s="5">
        <f>Données_Planning!D208</f>
        <v>0</v>
      </c>
      <c r="J210" s="22">
        <f>Données_Planning!F208</f>
        <v>0</v>
      </c>
      <c r="K210" s="22">
        <f>Données_Planning!E208</f>
        <v>0</v>
      </c>
      <c r="L210" s="35">
        <f>Données_Planning!G208</f>
        <v>0</v>
      </c>
      <c r="M210" s="37">
        <f>(IF(OR(A210="DWF",A210="DNF"),0,QUOTIENT(Données_Planning!J208,60)))</f>
        <v>0</v>
      </c>
      <c r="N210" s="7" t="str">
        <f t="shared" si="30"/>
        <v>min</v>
      </c>
      <c r="O210" s="36">
        <f>(IF(OR(A210="DWF",A210="DNF"),Données_Planning!J208,MOD(Données_Planning!J208,60)))</f>
        <v>0</v>
      </c>
      <c r="P210" s="28" t="str">
        <f t="shared" si="31"/>
        <v>s</v>
      </c>
      <c r="Q210" s="37">
        <f>(IF(OR(A210="DWF",A210="DNF"),0,QUOTIENT(Données_Planning!I208,60)))</f>
        <v>0</v>
      </c>
      <c r="R210" s="7" t="str">
        <f t="shared" si="32"/>
        <v>min</v>
      </c>
      <c r="S210" s="36">
        <f>(IF(OR(A210="DWF",A210="DNF"),Données_Planning!I208,MOD(Données_Planning!I208,60)))</f>
        <v>0</v>
      </c>
      <c r="T210" s="28" t="str">
        <f t="shared" si="33"/>
        <v>s</v>
      </c>
      <c r="U210" s="37">
        <f>(IF(OR(A210="DWF",A210="DNF"),0,QUOTIENT(Données_Planning!K208,60)))</f>
        <v>0</v>
      </c>
      <c r="V210" s="7" t="str">
        <f t="shared" si="34"/>
        <v>min</v>
      </c>
      <c r="W210" s="36">
        <f>(IF(OR(A210="DWF",A210="DNF"),Données_Planning!K208,MOD(Données_Planning!K208,60)))</f>
        <v>0</v>
      </c>
      <c r="X210" s="38" t="str">
        <f t="shared" si="35"/>
        <v>s</v>
      </c>
      <c r="Y210" s="42"/>
    </row>
    <row r="211" spans="1:25" ht="15.75" x14ac:dyDescent="0.25">
      <c r="A211" s="4">
        <f>Données_Planning!A209</f>
        <v>0</v>
      </c>
      <c r="B211" s="6">
        <f>Données_Planning!B209</f>
        <v>0</v>
      </c>
      <c r="C211" s="28">
        <f>Données_Planning!C209</f>
        <v>0</v>
      </c>
      <c r="D211" s="50">
        <f t="shared" si="27"/>
        <v>0</v>
      </c>
      <c r="E211" s="51">
        <f t="shared" si="28"/>
        <v>0</v>
      </c>
      <c r="F211" s="52">
        <f t="shared" si="29"/>
        <v>0</v>
      </c>
      <c r="G211" s="47">
        <f>Données_Planning!L209</f>
        <v>0</v>
      </c>
      <c r="H211" s="18">
        <f>Données_Planning!H209</f>
        <v>0</v>
      </c>
      <c r="I211" s="5">
        <f>Données_Planning!D209</f>
        <v>0</v>
      </c>
      <c r="J211" s="22">
        <f>Données_Planning!F209</f>
        <v>0</v>
      </c>
      <c r="K211" s="22">
        <f>Données_Planning!E209</f>
        <v>0</v>
      </c>
      <c r="L211" s="35">
        <f>Données_Planning!G209</f>
        <v>0</v>
      </c>
      <c r="M211" s="37">
        <f>(IF(OR(A211="DWF",A211="DNF"),0,QUOTIENT(Données_Planning!J209,60)))</f>
        <v>0</v>
      </c>
      <c r="N211" s="7" t="str">
        <f t="shared" si="30"/>
        <v>min</v>
      </c>
      <c r="O211" s="36">
        <f>(IF(OR(A211="DWF",A211="DNF"),Données_Planning!J209,MOD(Données_Planning!J209,60)))</f>
        <v>0</v>
      </c>
      <c r="P211" s="28" t="str">
        <f t="shared" si="31"/>
        <v>s</v>
      </c>
      <c r="Q211" s="37">
        <f>(IF(OR(A211="DWF",A211="DNF"),0,QUOTIENT(Données_Planning!I209,60)))</f>
        <v>0</v>
      </c>
      <c r="R211" s="7" t="str">
        <f t="shared" si="32"/>
        <v>min</v>
      </c>
      <c r="S211" s="36">
        <f>(IF(OR(A211="DWF",A211="DNF"),Données_Planning!I209,MOD(Données_Planning!I209,60)))</f>
        <v>0</v>
      </c>
      <c r="T211" s="28" t="str">
        <f t="shared" si="33"/>
        <v>s</v>
      </c>
      <c r="U211" s="37">
        <f>(IF(OR(A211="DWF",A211="DNF"),0,QUOTIENT(Données_Planning!K209,60)))</f>
        <v>0</v>
      </c>
      <c r="V211" s="7" t="str">
        <f t="shared" si="34"/>
        <v>min</v>
      </c>
      <c r="W211" s="36">
        <f>(IF(OR(A211="DWF",A211="DNF"),Données_Planning!K209,MOD(Données_Planning!K209,60)))</f>
        <v>0</v>
      </c>
      <c r="X211" s="38" t="str">
        <f t="shared" si="35"/>
        <v>s</v>
      </c>
      <c r="Y211" s="42"/>
    </row>
    <row r="212" spans="1:25" ht="15.75" x14ac:dyDescent="0.25">
      <c r="A212" s="4">
        <f>Données_Planning!A210</f>
        <v>0</v>
      </c>
      <c r="B212" s="6">
        <f>Données_Planning!B210</f>
        <v>0</v>
      </c>
      <c r="C212" s="28">
        <f>Données_Planning!C210</f>
        <v>0</v>
      </c>
      <c r="D212" s="50">
        <f t="shared" si="27"/>
        <v>0</v>
      </c>
      <c r="E212" s="51">
        <f t="shared" si="28"/>
        <v>0</v>
      </c>
      <c r="F212" s="52">
        <f t="shared" si="29"/>
        <v>0</v>
      </c>
      <c r="G212" s="47">
        <f>Données_Planning!L210</f>
        <v>0</v>
      </c>
      <c r="H212" s="18">
        <f>Données_Planning!H210</f>
        <v>0</v>
      </c>
      <c r="I212" s="5">
        <f>Données_Planning!D210</f>
        <v>0</v>
      </c>
      <c r="J212" s="22">
        <f>Données_Planning!F210</f>
        <v>0</v>
      </c>
      <c r="K212" s="22">
        <f>Données_Planning!E210</f>
        <v>0</v>
      </c>
      <c r="L212" s="35">
        <f>Données_Planning!G210</f>
        <v>0</v>
      </c>
      <c r="M212" s="37">
        <f>(IF(OR(A212="DWF",A212="DNF"),0,QUOTIENT(Données_Planning!J210,60)))</f>
        <v>0</v>
      </c>
      <c r="N212" s="7" t="str">
        <f t="shared" si="30"/>
        <v>min</v>
      </c>
      <c r="O212" s="36">
        <f>(IF(OR(A212="DWF",A212="DNF"),Données_Planning!J210,MOD(Données_Planning!J210,60)))</f>
        <v>0</v>
      </c>
      <c r="P212" s="28" t="str">
        <f t="shared" si="31"/>
        <v>s</v>
      </c>
      <c r="Q212" s="37">
        <f>(IF(OR(A212="DWF",A212="DNF"),0,QUOTIENT(Données_Planning!I210,60)))</f>
        <v>0</v>
      </c>
      <c r="R212" s="7" t="str">
        <f t="shared" si="32"/>
        <v>min</v>
      </c>
      <c r="S212" s="36">
        <f>(IF(OR(A212="DWF",A212="DNF"),Données_Planning!I210,MOD(Données_Planning!I210,60)))</f>
        <v>0</v>
      </c>
      <c r="T212" s="28" t="str">
        <f t="shared" si="33"/>
        <v>s</v>
      </c>
      <c r="U212" s="37">
        <f>(IF(OR(A212="DWF",A212="DNF"),0,QUOTIENT(Données_Planning!K210,60)))</f>
        <v>0</v>
      </c>
      <c r="V212" s="7" t="str">
        <f t="shared" si="34"/>
        <v>min</v>
      </c>
      <c r="W212" s="36">
        <f>(IF(OR(A212="DWF",A212="DNF"),Données_Planning!K210,MOD(Données_Planning!K210,60)))</f>
        <v>0</v>
      </c>
      <c r="X212" s="38" t="str">
        <f t="shared" si="35"/>
        <v>s</v>
      </c>
      <c r="Y212" s="42"/>
    </row>
    <row r="213" spans="1:25" ht="15.75" x14ac:dyDescent="0.25">
      <c r="A213" s="4">
        <f>Données_Planning!A211</f>
        <v>0</v>
      </c>
      <c r="B213" s="6">
        <f>Données_Planning!B211</f>
        <v>0</v>
      </c>
      <c r="C213" s="28">
        <f>Données_Planning!C211</f>
        <v>0</v>
      </c>
      <c r="D213" s="50">
        <f t="shared" si="27"/>
        <v>0</v>
      </c>
      <c r="E213" s="51">
        <f t="shared" si="28"/>
        <v>0</v>
      </c>
      <c r="F213" s="52">
        <f t="shared" si="29"/>
        <v>0</v>
      </c>
      <c r="G213" s="47">
        <f>Données_Planning!L211</f>
        <v>0</v>
      </c>
      <c r="H213" s="18">
        <f>Données_Planning!H211</f>
        <v>0</v>
      </c>
      <c r="I213" s="5">
        <f>Données_Planning!D211</f>
        <v>0</v>
      </c>
      <c r="J213" s="22">
        <f>Données_Planning!F211</f>
        <v>0</v>
      </c>
      <c r="K213" s="22">
        <f>Données_Planning!E211</f>
        <v>0</v>
      </c>
      <c r="L213" s="35">
        <f>Données_Planning!G211</f>
        <v>0</v>
      </c>
      <c r="M213" s="37">
        <f>(IF(OR(A213="DWF",A213="DNF"),0,QUOTIENT(Données_Planning!J211,60)))</f>
        <v>0</v>
      </c>
      <c r="N213" s="7" t="str">
        <f t="shared" si="30"/>
        <v>min</v>
      </c>
      <c r="O213" s="36">
        <f>(IF(OR(A213="DWF",A213="DNF"),Données_Planning!J211,MOD(Données_Planning!J211,60)))</f>
        <v>0</v>
      </c>
      <c r="P213" s="28" t="str">
        <f t="shared" si="31"/>
        <v>s</v>
      </c>
      <c r="Q213" s="37">
        <f>(IF(OR(A213="DWF",A213="DNF"),0,QUOTIENT(Données_Planning!I211,60)))</f>
        <v>0</v>
      </c>
      <c r="R213" s="7" t="str">
        <f t="shared" si="32"/>
        <v>min</v>
      </c>
      <c r="S213" s="36">
        <f>(IF(OR(A213="DWF",A213="DNF"),Données_Planning!I211,MOD(Données_Planning!I211,60)))</f>
        <v>0</v>
      </c>
      <c r="T213" s="28" t="str">
        <f t="shared" si="33"/>
        <v>s</v>
      </c>
      <c r="U213" s="37">
        <f>(IF(OR(A213="DWF",A213="DNF"),0,QUOTIENT(Données_Planning!K211,60)))</f>
        <v>0</v>
      </c>
      <c r="V213" s="7" t="str">
        <f t="shared" si="34"/>
        <v>min</v>
      </c>
      <c r="W213" s="36">
        <f>(IF(OR(A213="DWF",A213="DNF"),Données_Planning!K211,MOD(Données_Planning!K211,60)))</f>
        <v>0</v>
      </c>
      <c r="X213" s="38" t="str">
        <f t="shared" si="35"/>
        <v>s</v>
      </c>
      <c r="Y213" s="42"/>
    </row>
    <row r="214" spans="1:25" ht="15.75" x14ac:dyDescent="0.25">
      <c r="A214" s="4">
        <f>Données_Planning!A212</f>
        <v>0</v>
      </c>
      <c r="B214" s="6">
        <f>Données_Planning!B212</f>
        <v>0</v>
      </c>
      <c r="C214" s="28">
        <f>Données_Planning!C212</f>
        <v>0</v>
      </c>
      <c r="D214" s="50">
        <f t="shared" si="27"/>
        <v>0</v>
      </c>
      <c r="E214" s="51">
        <f t="shared" si="28"/>
        <v>0</v>
      </c>
      <c r="F214" s="52">
        <f t="shared" si="29"/>
        <v>0</v>
      </c>
      <c r="G214" s="47">
        <f>Données_Planning!L212</f>
        <v>0</v>
      </c>
      <c r="H214" s="18">
        <f>Données_Planning!H212</f>
        <v>0</v>
      </c>
      <c r="I214" s="5">
        <f>Données_Planning!D212</f>
        <v>0</v>
      </c>
      <c r="J214" s="22">
        <f>Données_Planning!F212</f>
        <v>0</v>
      </c>
      <c r="K214" s="22">
        <f>Données_Planning!E212</f>
        <v>0</v>
      </c>
      <c r="L214" s="35">
        <f>Données_Planning!G212</f>
        <v>0</v>
      </c>
      <c r="M214" s="37">
        <f>(IF(OR(A214="DWF",A214="DNF"),0,QUOTIENT(Données_Planning!J212,60)))</f>
        <v>0</v>
      </c>
      <c r="N214" s="7" t="str">
        <f t="shared" si="30"/>
        <v>min</v>
      </c>
      <c r="O214" s="36">
        <f>(IF(OR(A214="DWF",A214="DNF"),Données_Planning!J212,MOD(Données_Planning!J212,60)))</f>
        <v>0</v>
      </c>
      <c r="P214" s="28" t="str">
        <f t="shared" si="31"/>
        <v>s</v>
      </c>
      <c r="Q214" s="37">
        <f>(IF(OR(A214="DWF",A214="DNF"),0,QUOTIENT(Données_Planning!I212,60)))</f>
        <v>0</v>
      </c>
      <c r="R214" s="7" t="str">
        <f t="shared" si="32"/>
        <v>min</v>
      </c>
      <c r="S214" s="36">
        <f>(IF(OR(A214="DWF",A214="DNF"),Données_Planning!I212,MOD(Données_Planning!I212,60)))</f>
        <v>0</v>
      </c>
      <c r="T214" s="28" t="str">
        <f t="shared" si="33"/>
        <v>s</v>
      </c>
      <c r="U214" s="37">
        <f>(IF(OR(A214="DWF",A214="DNF"),0,QUOTIENT(Données_Planning!K212,60)))</f>
        <v>0</v>
      </c>
      <c r="V214" s="7" t="str">
        <f t="shared" si="34"/>
        <v>min</v>
      </c>
      <c r="W214" s="36">
        <f>(IF(OR(A214="DWF",A214="DNF"),Données_Planning!K212,MOD(Données_Planning!K212,60)))</f>
        <v>0</v>
      </c>
      <c r="X214" s="38" t="str">
        <f t="shared" si="35"/>
        <v>s</v>
      </c>
      <c r="Y214" s="42"/>
    </row>
    <row r="215" spans="1:25" ht="15.75" x14ac:dyDescent="0.25">
      <c r="A215" s="4">
        <f>Données_Planning!A213</f>
        <v>0</v>
      </c>
      <c r="B215" s="6">
        <f>Données_Planning!B213</f>
        <v>0</v>
      </c>
      <c r="C215" s="28">
        <f>Données_Planning!C213</f>
        <v>0</v>
      </c>
      <c r="D215" s="50">
        <f t="shared" si="27"/>
        <v>0</v>
      </c>
      <c r="E215" s="51">
        <f t="shared" si="28"/>
        <v>0</v>
      </c>
      <c r="F215" s="52">
        <f t="shared" si="29"/>
        <v>0</v>
      </c>
      <c r="G215" s="47">
        <f>Données_Planning!L213</f>
        <v>0</v>
      </c>
      <c r="H215" s="18">
        <f>Données_Planning!H213</f>
        <v>0</v>
      </c>
      <c r="I215" s="5">
        <f>Données_Planning!D213</f>
        <v>0</v>
      </c>
      <c r="J215" s="22">
        <f>Données_Planning!F213</f>
        <v>0</v>
      </c>
      <c r="K215" s="22">
        <f>Données_Planning!E213</f>
        <v>0</v>
      </c>
      <c r="L215" s="35">
        <f>Données_Planning!G213</f>
        <v>0</v>
      </c>
      <c r="M215" s="37">
        <f>(IF(OR(A215="DWF",A215="DNF"),0,QUOTIENT(Données_Planning!J213,60)))</f>
        <v>0</v>
      </c>
      <c r="N215" s="7" t="str">
        <f t="shared" si="30"/>
        <v>min</v>
      </c>
      <c r="O215" s="36">
        <f>(IF(OR(A215="DWF",A215="DNF"),Données_Planning!J213,MOD(Données_Planning!J213,60)))</f>
        <v>0</v>
      </c>
      <c r="P215" s="28" t="str">
        <f t="shared" si="31"/>
        <v>s</v>
      </c>
      <c r="Q215" s="37">
        <f>(IF(OR(A215="DWF",A215="DNF"),0,QUOTIENT(Données_Planning!I213,60)))</f>
        <v>0</v>
      </c>
      <c r="R215" s="7" t="str">
        <f t="shared" si="32"/>
        <v>min</v>
      </c>
      <c r="S215" s="36">
        <f>(IF(OR(A215="DWF",A215="DNF"),Données_Planning!I213,MOD(Données_Planning!I213,60)))</f>
        <v>0</v>
      </c>
      <c r="T215" s="28" t="str">
        <f t="shared" si="33"/>
        <v>s</v>
      </c>
      <c r="U215" s="37">
        <f>(IF(OR(A215="DWF",A215="DNF"),0,QUOTIENT(Données_Planning!K213,60)))</f>
        <v>0</v>
      </c>
      <c r="V215" s="7" t="str">
        <f t="shared" si="34"/>
        <v>min</v>
      </c>
      <c r="W215" s="36">
        <f>(IF(OR(A215="DWF",A215="DNF"),Données_Planning!K213,MOD(Données_Planning!K213,60)))</f>
        <v>0</v>
      </c>
      <c r="X215" s="38" t="str">
        <f t="shared" si="35"/>
        <v>s</v>
      </c>
      <c r="Y215" s="42"/>
    </row>
    <row r="216" spans="1:25" ht="15.75" x14ac:dyDescent="0.25">
      <c r="A216" s="4">
        <f>Données_Planning!A214</f>
        <v>0</v>
      </c>
      <c r="B216" s="6">
        <f>Données_Planning!B214</f>
        <v>0</v>
      </c>
      <c r="C216" s="28">
        <f>Données_Planning!C214</f>
        <v>0</v>
      </c>
      <c r="D216" s="50">
        <f t="shared" si="27"/>
        <v>0</v>
      </c>
      <c r="E216" s="51">
        <f t="shared" si="28"/>
        <v>0</v>
      </c>
      <c r="F216" s="52">
        <f t="shared" si="29"/>
        <v>0</v>
      </c>
      <c r="G216" s="47">
        <f>Données_Planning!L214</f>
        <v>0</v>
      </c>
      <c r="H216" s="18">
        <f>Données_Planning!H214</f>
        <v>0</v>
      </c>
      <c r="I216" s="5">
        <f>Données_Planning!D214</f>
        <v>0</v>
      </c>
      <c r="J216" s="22">
        <f>Données_Planning!F214</f>
        <v>0</v>
      </c>
      <c r="K216" s="22">
        <f>Données_Planning!E214</f>
        <v>0</v>
      </c>
      <c r="L216" s="35">
        <f>Données_Planning!G214</f>
        <v>0</v>
      </c>
      <c r="M216" s="37">
        <f>(IF(OR(A216="DWF",A216="DNF"),0,QUOTIENT(Données_Planning!J214,60)))</f>
        <v>0</v>
      </c>
      <c r="N216" s="7" t="str">
        <f t="shared" si="30"/>
        <v>min</v>
      </c>
      <c r="O216" s="36">
        <f>(IF(OR(A216="DWF",A216="DNF"),Données_Planning!J214,MOD(Données_Planning!J214,60)))</f>
        <v>0</v>
      </c>
      <c r="P216" s="28" t="str">
        <f t="shared" si="31"/>
        <v>s</v>
      </c>
      <c r="Q216" s="37">
        <f>(IF(OR(A216="DWF",A216="DNF"),0,QUOTIENT(Données_Planning!I214,60)))</f>
        <v>0</v>
      </c>
      <c r="R216" s="7" t="str">
        <f t="shared" si="32"/>
        <v>min</v>
      </c>
      <c r="S216" s="36">
        <f>(IF(OR(A216="DWF",A216="DNF"),Données_Planning!I214,MOD(Données_Planning!I214,60)))</f>
        <v>0</v>
      </c>
      <c r="T216" s="28" t="str">
        <f t="shared" si="33"/>
        <v>s</v>
      </c>
      <c r="U216" s="37">
        <f>(IF(OR(A216="DWF",A216="DNF"),0,QUOTIENT(Données_Planning!K214,60)))</f>
        <v>0</v>
      </c>
      <c r="V216" s="7" t="str">
        <f t="shared" si="34"/>
        <v>min</v>
      </c>
      <c r="W216" s="36">
        <f>(IF(OR(A216="DWF",A216="DNF"),Données_Planning!K214,MOD(Données_Planning!K214,60)))</f>
        <v>0</v>
      </c>
      <c r="X216" s="38" t="str">
        <f t="shared" si="35"/>
        <v>s</v>
      </c>
      <c r="Y216" s="42"/>
    </row>
    <row r="217" spans="1:25" ht="15.75" x14ac:dyDescent="0.25">
      <c r="A217" s="4">
        <f>Données_Planning!A215</f>
        <v>0</v>
      </c>
      <c r="B217" s="6">
        <f>Données_Planning!B215</f>
        <v>0</v>
      </c>
      <c r="C217" s="28">
        <f>Données_Planning!C215</f>
        <v>0</v>
      </c>
      <c r="D217" s="50">
        <f t="shared" si="27"/>
        <v>0</v>
      </c>
      <c r="E217" s="51">
        <f t="shared" si="28"/>
        <v>0</v>
      </c>
      <c r="F217" s="52">
        <f t="shared" si="29"/>
        <v>0</v>
      </c>
      <c r="G217" s="47">
        <f>Données_Planning!L215</f>
        <v>0</v>
      </c>
      <c r="H217" s="18">
        <f>Données_Planning!H215</f>
        <v>0</v>
      </c>
      <c r="I217" s="5">
        <f>Données_Planning!D215</f>
        <v>0</v>
      </c>
      <c r="J217" s="22">
        <f>Données_Planning!F215</f>
        <v>0</v>
      </c>
      <c r="K217" s="22">
        <f>Données_Planning!E215</f>
        <v>0</v>
      </c>
      <c r="L217" s="35">
        <f>Données_Planning!G215</f>
        <v>0</v>
      </c>
      <c r="M217" s="37">
        <f>(IF(OR(A217="DWF",A217="DNF"),0,QUOTIENT(Données_Planning!J215,60)))</f>
        <v>0</v>
      </c>
      <c r="N217" s="7" t="str">
        <f t="shared" si="30"/>
        <v>min</v>
      </c>
      <c r="O217" s="36">
        <f>(IF(OR(A217="DWF",A217="DNF"),Données_Planning!J215,MOD(Données_Planning!J215,60)))</f>
        <v>0</v>
      </c>
      <c r="P217" s="28" t="str">
        <f t="shared" si="31"/>
        <v>s</v>
      </c>
      <c r="Q217" s="37">
        <f>(IF(OR(A217="DWF",A217="DNF"),0,QUOTIENT(Données_Planning!I215,60)))</f>
        <v>0</v>
      </c>
      <c r="R217" s="7" t="str">
        <f t="shared" si="32"/>
        <v>min</v>
      </c>
      <c r="S217" s="36">
        <f>(IF(OR(A217="DWF",A217="DNF"),Données_Planning!I215,MOD(Données_Planning!I215,60)))</f>
        <v>0</v>
      </c>
      <c r="T217" s="28" t="str">
        <f t="shared" si="33"/>
        <v>s</v>
      </c>
      <c r="U217" s="37">
        <f>(IF(OR(A217="DWF",A217="DNF"),0,QUOTIENT(Données_Planning!K215,60)))</f>
        <v>0</v>
      </c>
      <c r="V217" s="7" t="str">
        <f t="shared" si="34"/>
        <v>min</v>
      </c>
      <c r="W217" s="36">
        <f>(IF(OR(A217="DWF",A217="DNF"),Données_Planning!K215,MOD(Données_Planning!K215,60)))</f>
        <v>0</v>
      </c>
      <c r="X217" s="38" t="str">
        <f t="shared" si="35"/>
        <v>s</v>
      </c>
      <c r="Y217" s="42"/>
    </row>
    <row r="218" spans="1:25" ht="15.75" x14ac:dyDescent="0.25">
      <c r="A218" s="4">
        <f>Données_Planning!A216</f>
        <v>0</v>
      </c>
      <c r="B218" s="6">
        <f>Données_Planning!B216</f>
        <v>0</v>
      </c>
      <c r="C218" s="28">
        <f>Données_Planning!C216</f>
        <v>0</v>
      </c>
      <c r="D218" s="50">
        <f t="shared" si="27"/>
        <v>0</v>
      </c>
      <c r="E218" s="51">
        <f t="shared" si="28"/>
        <v>0</v>
      </c>
      <c r="F218" s="52">
        <f t="shared" si="29"/>
        <v>0</v>
      </c>
      <c r="G218" s="47">
        <f>Données_Planning!L216</f>
        <v>0</v>
      </c>
      <c r="H218" s="18">
        <f>Données_Planning!H216</f>
        <v>0</v>
      </c>
      <c r="I218" s="5">
        <f>Données_Planning!D216</f>
        <v>0</v>
      </c>
      <c r="J218" s="22">
        <f>Données_Planning!F216</f>
        <v>0</v>
      </c>
      <c r="K218" s="22">
        <f>Données_Planning!E216</f>
        <v>0</v>
      </c>
      <c r="L218" s="35">
        <f>Données_Planning!G216</f>
        <v>0</v>
      </c>
      <c r="M218" s="37">
        <f>(IF(OR(A218="DWF",A218="DNF"),0,QUOTIENT(Données_Planning!J216,60)))</f>
        <v>0</v>
      </c>
      <c r="N218" s="7" t="str">
        <f t="shared" si="30"/>
        <v>min</v>
      </c>
      <c r="O218" s="36">
        <f>(IF(OR(A218="DWF",A218="DNF"),Données_Planning!J216,MOD(Données_Planning!J216,60)))</f>
        <v>0</v>
      </c>
      <c r="P218" s="28" t="str">
        <f t="shared" si="31"/>
        <v>s</v>
      </c>
      <c r="Q218" s="37">
        <f>(IF(OR(A218="DWF",A218="DNF"),0,QUOTIENT(Données_Planning!I216,60)))</f>
        <v>0</v>
      </c>
      <c r="R218" s="7" t="str">
        <f t="shared" si="32"/>
        <v>min</v>
      </c>
      <c r="S218" s="36">
        <f>(IF(OR(A218="DWF",A218="DNF"),Données_Planning!I216,MOD(Données_Planning!I216,60)))</f>
        <v>0</v>
      </c>
      <c r="T218" s="28" t="str">
        <f t="shared" si="33"/>
        <v>s</v>
      </c>
      <c r="U218" s="37">
        <f>(IF(OR(A218="DWF",A218="DNF"),0,QUOTIENT(Données_Planning!K216,60)))</f>
        <v>0</v>
      </c>
      <c r="V218" s="7" t="str">
        <f t="shared" si="34"/>
        <v>min</v>
      </c>
      <c r="W218" s="36">
        <f>(IF(OR(A218="DWF",A218="DNF"),Données_Planning!K216,MOD(Données_Planning!K216,60)))</f>
        <v>0</v>
      </c>
      <c r="X218" s="38" t="str">
        <f t="shared" si="35"/>
        <v>s</v>
      </c>
      <c r="Y218" s="42"/>
    </row>
    <row r="219" spans="1:25" ht="15.75" x14ac:dyDescent="0.25">
      <c r="A219" s="4">
        <f>Données_Planning!A217</f>
        <v>0</v>
      </c>
      <c r="B219" s="6">
        <f>Données_Planning!B217</f>
        <v>0</v>
      </c>
      <c r="C219" s="28">
        <f>Données_Planning!C217</f>
        <v>0</v>
      </c>
      <c r="D219" s="50">
        <f t="shared" si="27"/>
        <v>0</v>
      </c>
      <c r="E219" s="51">
        <f t="shared" si="28"/>
        <v>0</v>
      </c>
      <c r="F219" s="52">
        <f t="shared" si="29"/>
        <v>0</v>
      </c>
      <c r="G219" s="47">
        <f>Données_Planning!L217</f>
        <v>0</v>
      </c>
      <c r="H219" s="18">
        <f>Données_Planning!H217</f>
        <v>0</v>
      </c>
      <c r="I219" s="5">
        <f>Données_Planning!D217</f>
        <v>0</v>
      </c>
      <c r="J219" s="22">
        <f>Données_Planning!F217</f>
        <v>0</v>
      </c>
      <c r="K219" s="22">
        <f>Données_Planning!E217</f>
        <v>0</v>
      </c>
      <c r="L219" s="35">
        <f>Données_Planning!G217</f>
        <v>0</v>
      </c>
      <c r="M219" s="37">
        <f>(IF(OR(A219="DWF",A219="DNF"),0,QUOTIENT(Données_Planning!J217,60)))</f>
        <v>0</v>
      </c>
      <c r="N219" s="7" t="str">
        <f t="shared" si="30"/>
        <v>min</v>
      </c>
      <c r="O219" s="36">
        <f>(IF(OR(A219="DWF",A219="DNF"),Données_Planning!J217,MOD(Données_Planning!J217,60)))</f>
        <v>0</v>
      </c>
      <c r="P219" s="28" t="str">
        <f t="shared" si="31"/>
        <v>s</v>
      </c>
      <c r="Q219" s="37">
        <f>(IF(OR(A219="DWF",A219="DNF"),0,QUOTIENT(Données_Planning!I217,60)))</f>
        <v>0</v>
      </c>
      <c r="R219" s="7" t="str">
        <f t="shared" si="32"/>
        <v>min</v>
      </c>
      <c r="S219" s="36">
        <f>(IF(OR(A219="DWF",A219="DNF"),Données_Planning!I217,MOD(Données_Planning!I217,60)))</f>
        <v>0</v>
      </c>
      <c r="T219" s="28" t="str">
        <f t="shared" si="33"/>
        <v>s</v>
      </c>
      <c r="U219" s="37">
        <f>(IF(OR(A219="DWF",A219="DNF"),0,QUOTIENT(Données_Planning!K217,60)))</f>
        <v>0</v>
      </c>
      <c r="V219" s="7" t="str">
        <f t="shared" si="34"/>
        <v>min</v>
      </c>
      <c r="W219" s="36">
        <f>(IF(OR(A219="DWF",A219="DNF"),Données_Planning!K217,MOD(Données_Planning!K217,60)))</f>
        <v>0</v>
      </c>
      <c r="X219" s="38" t="str">
        <f t="shared" si="35"/>
        <v>s</v>
      </c>
      <c r="Y219" s="42"/>
    </row>
    <row r="220" spans="1:25" ht="15.75" x14ac:dyDescent="0.25">
      <c r="A220" s="4">
        <f>Données_Planning!A218</f>
        <v>0</v>
      </c>
      <c r="B220" s="6">
        <f>Données_Planning!B218</f>
        <v>0</v>
      </c>
      <c r="C220" s="28">
        <f>Données_Planning!C218</f>
        <v>0</v>
      </c>
      <c r="D220" s="50">
        <f t="shared" si="27"/>
        <v>0</v>
      </c>
      <c r="E220" s="51">
        <f t="shared" si="28"/>
        <v>0</v>
      </c>
      <c r="F220" s="52">
        <f t="shared" si="29"/>
        <v>0</v>
      </c>
      <c r="G220" s="47">
        <f>Données_Planning!L218</f>
        <v>0</v>
      </c>
      <c r="H220" s="18">
        <f>Données_Planning!H218</f>
        <v>0</v>
      </c>
      <c r="I220" s="5">
        <f>Données_Planning!D218</f>
        <v>0</v>
      </c>
      <c r="J220" s="22">
        <f>Données_Planning!F218</f>
        <v>0</v>
      </c>
      <c r="K220" s="22">
        <f>Données_Planning!E218</f>
        <v>0</v>
      </c>
      <c r="L220" s="35">
        <f>Données_Planning!G218</f>
        <v>0</v>
      </c>
      <c r="M220" s="37">
        <f>(IF(OR(A220="DWF",A220="DNF"),0,QUOTIENT(Données_Planning!J218,60)))</f>
        <v>0</v>
      </c>
      <c r="N220" s="7" t="str">
        <f t="shared" si="30"/>
        <v>min</v>
      </c>
      <c r="O220" s="36">
        <f>(IF(OR(A220="DWF",A220="DNF"),Données_Planning!J218,MOD(Données_Planning!J218,60)))</f>
        <v>0</v>
      </c>
      <c r="P220" s="28" t="str">
        <f t="shared" si="31"/>
        <v>s</v>
      </c>
      <c r="Q220" s="37">
        <f>(IF(OR(A220="DWF",A220="DNF"),0,QUOTIENT(Données_Planning!I218,60)))</f>
        <v>0</v>
      </c>
      <c r="R220" s="7" t="str">
        <f t="shared" si="32"/>
        <v>min</v>
      </c>
      <c r="S220" s="36">
        <f>(IF(OR(A220="DWF",A220="DNF"),Données_Planning!I218,MOD(Données_Planning!I218,60)))</f>
        <v>0</v>
      </c>
      <c r="T220" s="28" t="str">
        <f t="shared" si="33"/>
        <v>s</v>
      </c>
      <c r="U220" s="37">
        <f>(IF(OR(A220="DWF",A220="DNF"),0,QUOTIENT(Données_Planning!K218,60)))</f>
        <v>0</v>
      </c>
      <c r="V220" s="7" t="str">
        <f t="shared" si="34"/>
        <v>min</v>
      </c>
      <c r="W220" s="36">
        <f>(IF(OR(A220="DWF",A220="DNF"),Données_Planning!K218,MOD(Données_Planning!K218,60)))</f>
        <v>0</v>
      </c>
      <c r="X220" s="38" t="str">
        <f t="shared" si="35"/>
        <v>s</v>
      </c>
      <c r="Y220" s="42"/>
    </row>
    <row r="221" spans="1:25" ht="15.75" x14ac:dyDescent="0.25">
      <c r="A221" s="4">
        <f>Données_Planning!A219</f>
        <v>0</v>
      </c>
      <c r="B221" s="6">
        <f>Données_Planning!B219</f>
        <v>0</v>
      </c>
      <c r="C221" s="28">
        <f>Données_Planning!C219</f>
        <v>0</v>
      </c>
      <c r="D221" s="50">
        <f t="shared" si="27"/>
        <v>0</v>
      </c>
      <c r="E221" s="51">
        <f t="shared" si="28"/>
        <v>0</v>
      </c>
      <c r="F221" s="52">
        <f t="shared" si="29"/>
        <v>0</v>
      </c>
      <c r="G221" s="47">
        <f>Données_Planning!L219</f>
        <v>0</v>
      </c>
      <c r="H221" s="18">
        <f>Données_Planning!H219</f>
        <v>0</v>
      </c>
      <c r="I221" s="5">
        <f>Données_Planning!D219</f>
        <v>0</v>
      </c>
      <c r="J221" s="22">
        <f>Données_Planning!F219</f>
        <v>0</v>
      </c>
      <c r="K221" s="22">
        <f>Données_Planning!E219</f>
        <v>0</v>
      </c>
      <c r="L221" s="35">
        <f>Données_Planning!G219</f>
        <v>0</v>
      </c>
      <c r="M221" s="37">
        <f>(IF(OR(A221="DWF",A221="DNF"),0,QUOTIENT(Données_Planning!J219,60)))</f>
        <v>0</v>
      </c>
      <c r="N221" s="7" t="str">
        <f t="shared" si="30"/>
        <v>min</v>
      </c>
      <c r="O221" s="36">
        <f>(IF(OR(A221="DWF",A221="DNF"),Données_Planning!J219,MOD(Données_Planning!J219,60)))</f>
        <v>0</v>
      </c>
      <c r="P221" s="28" t="str">
        <f t="shared" si="31"/>
        <v>s</v>
      </c>
      <c r="Q221" s="37">
        <f>(IF(OR(A221="DWF",A221="DNF"),0,QUOTIENT(Données_Planning!I219,60)))</f>
        <v>0</v>
      </c>
      <c r="R221" s="7" t="str">
        <f t="shared" si="32"/>
        <v>min</v>
      </c>
      <c r="S221" s="36">
        <f>(IF(OR(A221="DWF",A221="DNF"),Données_Planning!I219,MOD(Données_Planning!I219,60)))</f>
        <v>0</v>
      </c>
      <c r="T221" s="28" t="str">
        <f t="shared" si="33"/>
        <v>s</v>
      </c>
      <c r="U221" s="37">
        <f>(IF(OR(A221="DWF",A221="DNF"),0,QUOTIENT(Données_Planning!K219,60)))</f>
        <v>0</v>
      </c>
      <c r="V221" s="7" t="str">
        <f t="shared" si="34"/>
        <v>min</v>
      </c>
      <c r="W221" s="36">
        <f>(IF(OR(A221="DWF",A221="DNF"),Données_Planning!K219,MOD(Données_Planning!K219,60)))</f>
        <v>0</v>
      </c>
      <c r="X221" s="38" t="str">
        <f t="shared" si="35"/>
        <v>s</v>
      </c>
      <c r="Y221" s="42"/>
    </row>
    <row r="222" spans="1:25" ht="15.75" x14ac:dyDescent="0.25">
      <c r="A222" s="4">
        <f>Données_Planning!A220</f>
        <v>0</v>
      </c>
      <c r="B222" s="6">
        <f>Données_Planning!B220</f>
        <v>0</v>
      </c>
      <c r="C222" s="28">
        <f>Données_Planning!C220</f>
        <v>0</v>
      </c>
      <c r="D222" s="50">
        <f t="shared" si="27"/>
        <v>0</v>
      </c>
      <c r="E222" s="51">
        <f t="shared" si="28"/>
        <v>0</v>
      </c>
      <c r="F222" s="52">
        <f t="shared" si="29"/>
        <v>0</v>
      </c>
      <c r="G222" s="47">
        <f>Données_Planning!L220</f>
        <v>0</v>
      </c>
      <c r="H222" s="18">
        <f>Données_Planning!H220</f>
        <v>0</v>
      </c>
      <c r="I222" s="5">
        <f>Données_Planning!D220</f>
        <v>0</v>
      </c>
      <c r="J222" s="22">
        <f>Données_Planning!F220</f>
        <v>0</v>
      </c>
      <c r="K222" s="22">
        <f>Données_Planning!E220</f>
        <v>0</v>
      </c>
      <c r="L222" s="35">
        <f>Données_Planning!G220</f>
        <v>0</v>
      </c>
      <c r="M222" s="37">
        <f>(IF(OR(A222="DWF",A222="DNF"),0,QUOTIENT(Données_Planning!J220,60)))</f>
        <v>0</v>
      </c>
      <c r="N222" s="7" t="str">
        <f t="shared" si="30"/>
        <v>min</v>
      </c>
      <c r="O222" s="36">
        <f>(IF(OR(A222="DWF",A222="DNF"),Données_Planning!J220,MOD(Données_Planning!J220,60)))</f>
        <v>0</v>
      </c>
      <c r="P222" s="28" t="str">
        <f t="shared" si="31"/>
        <v>s</v>
      </c>
      <c r="Q222" s="37">
        <f>(IF(OR(A222="DWF",A222="DNF"),0,QUOTIENT(Données_Planning!I220,60)))</f>
        <v>0</v>
      </c>
      <c r="R222" s="7" t="str">
        <f t="shared" si="32"/>
        <v>min</v>
      </c>
      <c r="S222" s="36">
        <f>(IF(OR(A222="DWF",A222="DNF"),Données_Planning!I220,MOD(Données_Planning!I220,60)))</f>
        <v>0</v>
      </c>
      <c r="T222" s="28" t="str">
        <f t="shared" si="33"/>
        <v>s</v>
      </c>
      <c r="U222" s="37">
        <f>(IF(OR(A222="DWF",A222="DNF"),0,QUOTIENT(Données_Planning!K220,60)))</f>
        <v>0</v>
      </c>
      <c r="V222" s="7" t="str">
        <f t="shared" si="34"/>
        <v>min</v>
      </c>
      <c r="W222" s="36">
        <f>(IF(OR(A222="DWF",A222="DNF"),Données_Planning!K220,MOD(Données_Planning!K220,60)))</f>
        <v>0</v>
      </c>
      <c r="X222" s="38" t="str">
        <f t="shared" si="35"/>
        <v>s</v>
      </c>
      <c r="Y222" s="42"/>
    </row>
    <row r="223" spans="1:25" ht="15.75" x14ac:dyDescent="0.25">
      <c r="A223" s="4">
        <f>Données_Planning!A221</f>
        <v>0</v>
      </c>
      <c r="B223" s="6">
        <f>Données_Planning!B221</f>
        <v>0</v>
      </c>
      <c r="C223" s="28">
        <f>Données_Planning!C221</f>
        <v>0</v>
      </c>
      <c r="D223" s="50">
        <f t="shared" si="27"/>
        <v>0</v>
      </c>
      <c r="E223" s="51">
        <f t="shared" si="28"/>
        <v>0</v>
      </c>
      <c r="F223" s="52">
        <f t="shared" si="29"/>
        <v>0</v>
      </c>
      <c r="G223" s="47">
        <f>Données_Planning!L221</f>
        <v>0</v>
      </c>
      <c r="H223" s="18">
        <f>Données_Planning!H221</f>
        <v>0</v>
      </c>
      <c r="I223" s="5">
        <f>Données_Planning!D221</f>
        <v>0</v>
      </c>
      <c r="J223" s="22">
        <f>Données_Planning!F221</f>
        <v>0</v>
      </c>
      <c r="K223" s="22">
        <f>Données_Planning!E221</f>
        <v>0</v>
      </c>
      <c r="L223" s="35">
        <f>Données_Planning!G221</f>
        <v>0</v>
      </c>
      <c r="M223" s="37">
        <f>(IF(OR(A223="DWF",A223="DNF"),0,QUOTIENT(Données_Planning!J221,60)))</f>
        <v>0</v>
      </c>
      <c r="N223" s="7" t="str">
        <f t="shared" si="30"/>
        <v>min</v>
      </c>
      <c r="O223" s="36">
        <f>(IF(OR(A223="DWF",A223="DNF"),Données_Planning!J221,MOD(Données_Planning!J221,60)))</f>
        <v>0</v>
      </c>
      <c r="P223" s="28" t="str">
        <f t="shared" si="31"/>
        <v>s</v>
      </c>
      <c r="Q223" s="37">
        <f>(IF(OR(A223="DWF",A223="DNF"),0,QUOTIENT(Données_Planning!I221,60)))</f>
        <v>0</v>
      </c>
      <c r="R223" s="7" t="str">
        <f t="shared" si="32"/>
        <v>min</v>
      </c>
      <c r="S223" s="36">
        <f>(IF(OR(A223="DWF",A223="DNF"),Données_Planning!I221,MOD(Données_Planning!I221,60)))</f>
        <v>0</v>
      </c>
      <c r="T223" s="28" t="str">
        <f t="shared" si="33"/>
        <v>s</v>
      </c>
      <c r="U223" s="37">
        <f>(IF(OR(A223="DWF",A223="DNF"),0,QUOTIENT(Données_Planning!K221,60)))</f>
        <v>0</v>
      </c>
      <c r="V223" s="7" t="str">
        <f t="shared" si="34"/>
        <v>min</v>
      </c>
      <c r="W223" s="36">
        <f>(IF(OR(A223="DWF",A223="DNF"),Données_Planning!K221,MOD(Données_Planning!K221,60)))</f>
        <v>0</v>
      </c>
      <c r="X223" s="38" t="str">
        <f t="shared" si="35"/>
        <v>s</v>
      </c>
      <c r="Y223" s="42"/>
    </row>
    <row r="224" spans="1:25" ht="15.75" x14ac:dyDescent="0.25">
      <c r="A224" s="4">
        <f>Données_Planning!A222</f>
        <v>0</v>
      </c>
      <c r="B224" s="6">
        <f>Données_Planning!B222</f>
        <v>0</v>
      </c>
      <c r="C224" s="28">
        <f>Données_Planning!C222</f>
        <v>0</v>
      </c>
      <c r="D224" s="50">
        <f t="shared" si="27"/>
        <v>0</v>
      </c>
      <c r="E224" s="51">
        <f t="shared" si="28"/>
        <v>0</v>
      </c>
      <c r="F224" s="52">
        <f t="shared" si="29"/>
        <v>0</v>
      </c>
      <c r="G224" s="47">
        <f>Données_Planning!L222</f>
        <v>0</v>
      </c>
      <c r="H224" s="18">
        <f>Données_Planning!H222</f>
        <v>0</v>
      </c>
      <c r="I224" s="5">
        <f>Données_Planning!D222</f>
        <v>0</v>
      </c>
      <c r="J224" s="22">
        <f>Données_Planning!F222</f>
        <v>0</v>
      </c>
      <c r="K224" s="22">
        <f>Données_Planning!E222</f>
        <v>0</v>
      </c>
      <c r="L224" s="35">
        <f>Données_Planning!G222</f>
        <v>0</v>
      </c>
      <c r="M224" s="37">
        <f>(IF(OR(A224="DWF",A224="DNF"),0,QUOTIENT(Données_Planning!J222,60)))</f>
        <v>0</v>
      </c>
      <c r="N224" s="7" t="str">
        <f t="shared" si="30"/>
        <v>min</v>
      </c>
      <c r="O224" s="36">
        <f>(IF(OR(A224="DWF",A224="DNF"),Données_Planning!J222,MOD(Données_Planning!J222,60)))</f>
        <v>0</v>
      </c>
      <c r="P224" s="28" t="str">
        <f t="shared" si="31"/>
        <v>s</v>
      </c>
      <c r="Q224" s="37">
        <f>(IF(OR(A224="DWF",A224="DNF"),0,QUOTIENT(Données_Planning!I222,60)))</f>
        <v>0</v>
      </c>
      <c r="R224" s="7" t="str">
        <f t="shared" si="32"/>
        <v>min</v>
      </c>
      <c r="S224" s="36">
        <f>(IF(OR(A224="DWF",A224="DNF"),Données_Planning!I222,MOD(Données_Planning!I222,60)))</f>
        <v>0</v>
      </c>
      <c r="T224" s="28" t="str">
        <f t="shared" si="33"/>
        <v>s</v>
      </c>
      <c r="U224" s="37">
        <f>(IF(OR(A224="DWF",A224="DNF"),0,QUOTIENT(Données_Planning!K222,60)))</f>
        <v>0</v>
      </c>
      <c r="V224" s="7" t="str">
        <f t="shared" si="34"/>
        <v>min</v>
      </c>
      <c r="W224" s="36">
        <f>(IF(OR(A224="DWF",A224="DNF"),Données_Planning!K222,MOD(Données_Planning!K222,60)))</f>
        <v>0</v>
      </c>
      <c r="X224" s="38" t="str">
        <f t="shared" si="35"/>
        <v>s</v>
      </c>
      <c r="Y224" s="42"/>
    </row>
    <row r="225" spans="1:25" ht="15.75" x14ac:dyDescent="0.25">
      <c r="A225" s="4">
        <f>Données_Planning!A223</f>
        <v>0</v>
      </c>
      <c r="B225" s="6">
        <f>Données_Planning!B223</f>
        <v>0</v>
      </c>
      <c r="C225" s="28">
        <f>Données_Planning!C223</f>
        <v>0</v>
      </c>
      <c r="D225" s="50">
        <f t="shared" si="27"/>
        <v>0</v>
      </c>
      <c r="E225" s="51">
        <f t="shared" si="28"/>
        <v>0</v>
      </c>
      <c r="F225" s="52">
        <f t="shared" si="29"/>
        <v>0</v>
      </c>
      <c r="G225" s="47">
        <f>Données_Planning!L223</f>
        <v>0</v>
      </c>
      <c r="H225" s="18">
        <f>Données_Planning!H223</f>
        <v>0</v>
      </c>
      <c r="I225" s="5">
        <f>Données_Planning!D223</f>
        <v>0</v>
      </c>
      <c r="J225" s="22">
        <f>Données_Planning!F223</f>
        <v>0</v>
      </c>
      <c r="K225" s="22">
        <f>Données_Planning!E223</f>
        <v>0</v>
      </c>
      <c r="L225" s="35">
        <f>Données_Planning!G223</f>
        <v>0</v>
      </c>
      <c r="M225" s="37">
        <f>(IF(OR(A225="DWF",A225="DNF"),0,QUOTIENT(Données_Planning!J223,60)))</f>
        <v>0</v>
      </c>
      <c r="N225" s="7" t="str">
        <f t="shared" si="30"/>
        <v>min</v>
      </c>
      <c r="O225" s="36">
        <f>(IF(OR(A225="DWF",A225="DNF"),Données_Planning!J223,MOD(Données_Planning!J223,60)))</f>
        <v>0</v>
      </c>
      <c r="P225" s="28" t="str">
        <f t="shared" si="31"/>
        <v>s</v>
      </c>
      <c r="Q225" s="37">
        <f>(IF(OR(A225="DWF",A225="DNF"),0,QUOTIENT(Données_Planning!I223,60)))</f>
        <v>0</v>
      </c>
      <c r="R225" s="7" t="str">
        <f t="shared" si="32"/>
        <v>min</v>
      </c>
      <c r="S225" s="36">
        <f>(IF(OR(A225="DWF",A225="DNF"),Données_Planning!I223,MOD(Données_Planning!I223,60)))</f>
        <v>0</v>
      </c>
      <c r="T225" s="28" t="str">
        <f t="shared" si="33"/>
        <v>s</v>
      </c>
      <c r="U225" s="37">
        <f>(IF(OR(A225="DWF",A225="DNF"),0,QUOTIENT(Données_Planning!K223,60)))</f>
        <v>0</v>
      </c>
      <c r="V225" s="7" t="str">
        <f t="shared" si="34"/>
        <v>min</v>
      </c>
      <c r="W225" s="36">
        <f>(IF(OR(A225="DWF",A225="DNF"),Données_Planning!K223,MOD(Données_Planning!K223,60)))</f>
        <v>0</v>
      </c>
      <c r="X225" s="38" t="str">
        <f t="shared" si="35"/>
        <v>s</v>
      </c>
      <c r="Y225" s="42"/>
    </row>
    <row r="226" spans="1:25" ht="15.75" x14ac:dyDescent="0.25">
      <c r="A226" s="4">
        <f>Données_Planning!A224</f>
        <v>0</v>
      </c>
      <c r="B226" s="6">
        <f>Données_Planning!B224</f>
        <v>0</v>
      </c>
      <c r="C226" s="28">
        <f>Données_Planning!C224</f>
        <v>0</v>
      </c>
      <c r="D226" s="50">
        <f t="shared" si="27"/>
        <v>0</v>
      </c>
      <c r="E226" s="51">
        <f t="shared" si="28"/>
        <v>0</v>
      </c>
      <c r="F226" s="52">
        <f t="shared" si="29"/>
        <v>0</v>
      </c>
      <c r="G226" s="47">
        <f>Données_Planning!L224</f>
        <v>0</v>
      </c>
      <c r="H226" s="18">
        <f>Données_Planning!H224</f>
        <v>0</v>
      </c>
      <c r="I226" s="5">
        <f>Données_Planning!D224</f>
        <v>0</v>
      </c>
      <c r="J226" s="22">
        <f>Données_Planning!F224</f>
        <v>0</v>
      </c>
      <c r="K226" s="22">
        <f>Données_Planning!E224</f>
        <v>0</v>
      </c>
      <c r="L226" s="35">
        <f>Données_Planning!G224</f>
        <v>0</v>
      </c>
      <c r="M226" s="37">
        <f>(IF(OR(A226="DWF",A226="DNF"),0,QUOTIENT(Données_Planning!J224,60)))</f>
        <v>0</v>
      </c>
      <c r="N226" s="7" t="str">
        <f t="shared" si="30"/>
        <v>min</v>
      </c>
      <c r="O226" s="36">
        <f>(IF(OR(A226="DWF",A226="DNF"),Données_Planning!J224,MOD(Données_Planning!J224,60)))</f>
        <v>0</v>
      </c>
      <c r="P226" s="28" t="str">
        <f t="shared" si="31"/>
        <v>s</v>
      </c>
      <c r="Q226" s="37">
        <f>(IF(OR(A226="DWF",A226="DNF"),0,QUOTIENT(Données_Planning!I224,60)))</f>
        <v>0</v>
      </c>
      <c r="R226" s="7" t="str">
        <f t="shared" si="32"/>
        <v>min</v>
      </c>
      <c r="S226" s="36">
        <f>(IF(OR(A226="DWF",A226="DNF"),Données_Planning!I224,MOD(Données_Planning!I224,60)))</f>
        <v>0</v>
      </c>
      <c r="T226" s="28" t="str">
        <f t="shared" si="33"/>
        <v>s</v>
      </c>
      <c r="U226" s="37">
        <f>(IF(OR(A226="DWF",A226="DNF"),0,QUOTIENT(Données_Planning!K224,60)))</f>
        <v>0</v>
      </c>
      <c r="V226" s="7" t="str">
        <f t="shared" si="34"/>
        <v>min</v>
      </c>
      <c r="W226" s="36">
        <f>(IF(OR(A226="DWF",A226="DNF"),Données_Planning!K224,MOD(Données_Planning!K224,60)))</f>
        <v>0</v>
      </c>
      <c r="X226" s="38" t="str">
        <f t="shared" si="35"/>
        <v>s</v>
      </c>
      <c r="Y226" s="42"/>
    </row>
    <row r="227" spans="1:25" ht="15.75" x14ac:dyDescent="0.25">
      <c r="A227" s="4">
        <f>Données_Planning!A225</f>
        <v>0</v>
      </c>
      <c r="B227" s="6">
        <f>Données_Planning!B225</f>
        <v>0</v>
      </c>
      <c r="C227" s="28">
        <f>Données_Planning!C225</f>
        <v>0</v>
      </c>
      <c r="D227" s="50">
        <f t="shared" si="27"/>
        <v>0</v>
      </c>
      <c r="E227" s="51">
        <f t="shared" si="28"/>
        <v>0</v>
      </c>
      <c r="F227" s="52">
        <f t="shared" si="29"/>
        <v>0</v>
      </c>
      <c r="G227" s="47">
        <f>Données_Planning!L225</f>
        <v>0</v>
      </c>
      <c r="H227" s="18">
        <f>Données_Planning!H225</f>
        <v>0</v>
      </c>
      <c r="I227" s="5">
        <f>Données_Planning!D225</f>
        <v>0</v>
      </c>
      <c r="J227" s="22">
        <f>Données_Planning!F225</f>
        <v>0</v>
      </c>
      <c r="K227" s="22">
        <f>Données_Planning!E225</f>
        <v>0</v>
      </c>
      <c r="L227" s="35">
        <f>Données_Planning!G225</f>
        <v>0</v>
      </c>
      <c r="M227" s="37">
        <f>(IF(OR(A227="DWF",A227="DNF"),0,QUOTIENT(Données_Planning!J225,60)))</f>
        <v>0</v>
      </c>
      <c r="N227" s="7" t="str">
        <f t="shared" si="30"/>
        <v>min</v>
      </c>
      <c r="O227" s="36">
        <f>(IF(OR(A227="DWF",A227="DNF"),Données_Planning!J225,MOD(Données_Planning!J225,60)))</f>
        <v>0</v>
      </c>
      <c r="P227" s="28" t="str">
        <f t="shared" si="31"/>
        <v>s</v>
      </c>
      <c r="Q227" s="37">
        <f>(IF(OR(A227="DWF",A227="DNF"),0,QUOTIENT(Données_Planning!I225,60)))</f>
        <v>0</v>
      </c>
      <c r="R227" s="7" t="str">
        <f t="shared" si="32"/>
        <v>min</v>
      </c>
      <c r="S227" s="36">
        <f>(IF(OR(A227="DWF",A227="DNF"),Données_Planning!I225,MOD(Données_Planning!I225,60)))</f>
        <v>0</v>
      </c>
      <c r="T227" s="28" t="str">
        <f t="shared" si="33"/>
        <v>s</v>
      </c>
      <c r="U227" s="37">
        <f>(IF(OR(A227="DWF",A227="DNF"),0,QUOTIENT(Données_Planning!K225,60)))</f>
        <v>0</v>
      </c>
      <c r="V227" s="7" t="str">
        <f t="shared" si="34"/>
        <v>min</v>
      </c>
      <c r="W227" s="36">
        <f>(IF(OR(A227="DWF",A227="DNF"),Données_Planning!K225,MOD(Données_Planning!K225,60)))</f>
        <v>0</v>
      </c>
      <c r="X227" s="38" t="str">
        <f t="shared" si="35"/>
        <v>s</v>
      </c>
      <c r="Y227" s="42"/>
    </row>
    <row r="228" spans="1:25" ht="15.75" x14ac:dyDescent="0.25">
      <c r="A228" s="4">
        <f>Données_Planning!A226</f>
        <v>0</v>
      </c>
      <c r="B228" s="6">
        <f>Données_Planning!B226</f>
        <v>0</v>
      </c>
      <c r="C228" s="28">
        <f>Données_Planning!C226</f>
        <v>0</v>
      </c>
      <c r="D228" s="50">
        <f t="shared" si="27"/>
        <v>0</v>
      </c>
      <c r="E228" s="51">
        <f t="shared" si="28"/>
        <v>0</v>
      </c>
      <c r="F228" s="52">
        <f t="shared" si="29"/>
        <v>0</v>
      </c>
      <c r="G228" s="47">
        <f>Données_Planning!L226</f>
        <v>0</v>
      </c>
      <c r="H228" s="18">
        <f>Données_Planning!H226</f>
        <v>0</v>
      </c>
      <c r="I228" s="5">
        <f>Données_Planning!D226</f>
        <v>0</v>
      </c>
      <c r="J228" s="22">
        <f>Données_Planning!F226</f>
        <v>0</v>
      </c>
      <c r="K228" s="22">
        <f>Données_Planning!E226</f>
        <v>0</v>
      </c>
      <c r="L228" s="35">
        <f>Données_Planning!G226</f>
        <v>0</v>
      </c>
      <c r="M228" s="37">
        <f>(IF(OR(A228="DWF",A228="DNF"),0,QUOTIENT(Données_Planning!J226,60)))</f>
        <v>0</v>
      </c>
      <c r="N228" s="7" t="str">
        <f t="shared" si="30"/>
        <v>min</v>
      </c>
      <c r="O228" s="36">
        <f>(IF(OR(A228="DWF",A228="DNF"),Données_Planning!J226,MOD(Données_Planning!J226,60)))</f>
        <v>0</v>
      </c>
      <c r="P228" s="28" t="str">
        <f t="shared" si="31"/>
        <v>s</v>
      </c>
      <c r="Q228" s="37">
        <f>(IF(OR(A228="DWF",A228="DNF"),0,QUOTIENT(Données_Planning!I226,60)))</f>
        <v>0</v>
      </c>
      <c r="R228" s="7" t="str">
        <f t="shared" si="32"/>
        <v>min</v>
      </c>
      <c r="S228" s="36">
        <f>(IF(OR(A228="DWF",A228="DNF"),Données_Planning!I226,MOD(Données_Planning!I226,60)))</f>
        <v>0</v>
      </c>
      <c r="T228" s="28" t="str">
        <f t="shared" si="33"/>
        <v>s</v>
      </c>
      <c r="U228" s="37">
        <f>(IF(OR(A228="DWF",A228="DNF"),0,QUOTIENT(Données_Planning!K226,60)))</f>
        <v>0</v>
      </c>
      <c r="V228" s="7" t="str">
        <f t="shared" si="34"/>
        <v>min</v>
      </c>
      <c r="W228" s="36">
        <f>(IF(OR(A228="DWF",A228="DNF"),Données_Planning!K226,MOD(Données_Planning!K226,60)))</f>
        <v>0</v>
      </c>
      <c r="X228" s="38" t="str">
        <f t="shared" si="35"/>
        <v>s</v>
      </c>
      <c r="Y228" s="42"/>
    </row>
    <row r="229" spans="1:25" ht="15.75" x14ac:dyDescent="0.25">
      <c r="A229" s="4">
        <f>Données_Planning!A227</f>
        <v>0</v>
      </c>
      <c r="B229" s="6">
        <f>Données_Planning!B227</f>
        <v>0</v>
      </c>
      <c r="C229" s="28">
        <f>Données_Planning!C227</f>
        <v>0</v>
      </c>
      <c r="D229" s="50">
        <f t="shared" si="27"/>
        <v>0</v>
      </c>
      <c r="E229" s="51">
        <f t="shared" si="28"/>
        <v>0</v>
      </c>
      <c r="F229" s="52">
        <f t="shared" si="29"/>
        <v>0</v>
      </c>
      <c r="G229" s="47">
        <f>Données_Planning!L227</f>
        <v>0</v>
      </c>
      <c r="H229" s="18">
        <f>Données_Planning!H227</f>
        <v>0</v>
      </c>
      <c r="I229" s="5">
        <f>Données_Planning!D227</f>
        <v>0</v>
      </c>
      <c r="J229" s="22">
        <f>Données_Planning!F227</f>
        <v>0</v>
      </c>
      <c r="K229" s="22">
        <f>Données_Planning!E227</f>
        <v>0</v>
      </c>
      <c r="L229" s="35">
        <f>Données_Planning!G227</f>
        <v>0</v>
      </c>
      <c r="M229" s="37">
        <f>(IF(OR(A229="DWF",A229="DNF"),0,QUOTIENT(Données_Planning!J227,60)))</f>
        <v>0</v>
      </c>
      <c r="N229" s="7" t="str">
        <f t="shared" si="30"/>
        <v>min</v>
      </c>
      <c r="O229" s="36">
        <f>(IF(OR(A229="DWF",A229="DNF"),Données_Planning!J227,MOD(Données_Planning!J227,60)))</f>
        <v>0</v>
      </c>
      <c r="P229" s="28" t="str">
        <f t="shared" si="31"/>
        <v>s</v>
      </c>
      <c r="Q229" s="37">
        <f>(IF(OR(A229="DWF",A229="DNF"),0,QUOTIENT(Données_Planning!I227,60)))</f>
        <v>0</v>
      </c>
      <c r="R229" s="7" t="str">
        <f t="shared" si="32"/>
        <v>min</v>
      </c>
      <c r="S229" s="36">
        <f>(IF(OR(A229="DWF",A229="DNF"),Données_Planning!I227,MOD(Données_Planning!I227,60)))</f>
        <v>0</v>
      </c>
      <c r="T229" s="28" t="str">
        <f t="shared" si="33"/>
        <v>s</v>
      </c>
      <c r="U229" s="37">
        <f>(IF(OR(A229="DWF",A229="DNF"),0,QUOTIENT(Données_Planning!K227,60)))</f>
        <v>0</v>
      </c>
      <c r="V229" s="7" t="str">
        <f t="shared" si="34"/>
        <v>min</v>
      </c>
      <c r="W229" s="36">
        <f>(IF(OR(A229="DWF",A229="DNF"),Données_Planning!K227,MOD(Données_Planning!K227,60)))</f>
        <v>0</v>
      </c>
      <c r="X229" s="38" t="str">
        <f t="shared" si="35"/>
        <v>s</v>
      </c>
      <c r="Y229" s="42"/>
    </row>
    <row r="230" spans="1:25" ht="15.75" x14ac:dyDescent="0.25">
      <c r="A230" s="4">
        <f>Données_Planning!A228</f>
        <v>0</v>
      </c>
      <c r="B230" s="6">
        <f>Données_Planning!B228</f>
        <v>0</v>
      </c>
      <c r="C230" s="28">
        <f>Données_Planning!C228</f>
        <v>0</v>
      </c>
      <c r="D230" s="50">
        <f t="shared" si="27"/>
        <v>0</v>
      </c>
      <c r="E230" s="51">
        <f t="shared" si="28"/>
        <v>0</v>
      </c>
      <c r="F230" s="52">
        <f t="shared" si="29"/>
        <v>0</v>
      </c>
      <c r="G230" s="47">
        <f>Données_Planning!L228</f>
        <v>0</v>
      </c>
      <c r="H230" s="18">
        <f>Données_Planning!H228</f>
        <v>0</v>
      </c>
      <c r="I230" s="5">
        <f>Données_Planning!D228</f>
        <v>0</v>
      </c>
      <c r="J230" s="22">
        <f>Données_Planning!F228</f>
        <v>0</v>
      </c>
      <c r="K230" s="22">
        <f>Données_Planning!E228</f>
        <v>0</v>
      </c>
      <c r="L230" s="35">
        <f>Données_Planning!G228</f>
        <v>0</v>
      </c>
      <c r="M230" s="37">
        <f>(IF(OR(A230="DWF",A230="DNF"),0,QUOTIENT(Données_Planning!J228,60)))</f>
        <v>0</v>
      </c>
      <c r="N230" s="7" t="str">
        <f t="shared" si="30"/>
        <v>min</v>
      </c>
      <c r="O230" s="36">
        <f>(IF(OR(A230="DWF",A230="DNF"),Données_Planning!J228,MOD(Données_Planning!J228,60)))</f>
        <v>0</v>
      </c>
      <c r="P230" s="28" t="str">
        <f t="shared" si="31"/>
        <v>s</v>
      </c>
      <c r="Q230" s="37">
        <f>(IF(OR(A230="DWF",A230="DNF"),0,QUOTIENT(Données_Planning!I228,60)))</f>
        <v>0</v>
      </c>
      <c r="R230" s="7" t="str">
        <f t="shared" si="32"/>
        <v>min</v>
      </c>
      <c r="S230" s="36">
        <f>(IF(OR(A230="DWF",A230="DNF"),Données_Planning!I228,MOD(Données_Planning!I228,60)))</f>
        <v>0</v>
      </c>
      <c r="T230" s="28" t="str">
        <f t="shared" si="33"/>
        <v>s</v>
      </c>
      <c r="U230" s="37">
        <f>(IF(OR(A230="DWF",A230="DNF"),0,QUOTIENT(Données_Planning!K228,60)))</f>
        <v>0</v>
      </c>
      <c r="V230" s="7" t="str">
        <f t="shared" si="34"/>
        <v>min</v>
      </c>
      <c r="W230" s="36">
        <f>(IF(OR(A230="DWF",A230="DNF"),Données_Planning!K228,MOD(Données_Planning!K228,60)))</f>
        <v>0</v>
      </c>
      <c r="X230" s="38" t="str">
        <f t="shared" si="35"/>
        <v>s</v>
      </c>
      <c r="Y230" s="42"/>
    </row>
    <row r="231" spans="1:25" ht="15.75" x14ac:dyDescent="0.25">
      <c r="A231" s="4">
        <f>Données_Planning!A229</f>
        <v>0</v>
      </c>
      <c r="B231" s="6">
        <f>Données_Planning!B229</f>
        <v>0</v>
      </c>
      <c r="C231" s="28">
        <f>Données_Planning!C229</f>
        <v>0</v>
      </c>
      <c r="D231" s="50">
        <f t="shared" si="27"/>
        <v>0</v>
      </c>
      <c r="E231" s="51">
        <f t="shared" si="28"/>
        <v>0</v>
      </c>
      <c r="F231" s="52">
        <f t="shared" si="29"/>
        <v>0</v>
      </c>
      <c r="G231" s="47">
        <f>Données_Planning!L229</f>
        <v>0</v>
      </c>
      <c r="H231" s="18">
        <f>Données_Planning!H229</f>
        <v>0</v>
      </c>
      <c r="I231" s="5">
        <f>Données_Planning!D229</f>
        <v>0</v>
      </c>
      <c r="J231" s="22">
        <f>Données_Planning!F229</f>
        <v>0</v>
      </c>
      <c r="K231" s="22">
        <f>Données_Planning!E229</f>
        <v>0</v>
      </c>
      <c r="L231" s="35">
        <f>Données_Planning!G229</f>
        <v>0</v>
      </c>
      <c r="M231" s="37">
        <f>(IF(OR(A231="DWF",A231="DNF"),0,QUOTIENT(Données_Planning!J229,60)))</f>
        <v>0</v>
      </c>
      <c r="N231" s="7" t="str">
        <f t="shared" si="30"/>
        <v>min</v>
      </c>
      <c r="O231" s="36">
        <f>(IF(OR(A231="DWF",A231="DNF"),Données_Planning!J229,MOD(Données_Planning!J229,60)))</f>
        <v>0</v>
      </c>
      <c r="P231" s="28" t="str">
        <f t="shared" si="31"/>
        <v>s</v>
      </c>
      <c r="Q231" s="37">
        <f>(IF(OR(A231="DWF",A231="DNF"),0,QUOTIENT(Données_Planning!I229,60)))</f>
        <v>0</v>
      </c>
      <c r="R231" s="7" t="str">
        <f t="shared" si="32"/>
        <v>min</v>
      </c>
      <c r="S231" s="36">
        <f>(IF(OR(A231="DWF",A231="DNF"),Données_Planning!I229,MOD(Données_Planning!I229,60)))</f>
        <v>0</v>
      </c>
      <c r="T231" s="28" t="str">
        <f t="shared" si="33"/>
        <v>s</v>
      </c>
      <c r="U231" s="37">
        <f>(IF(OR(A231="DWF",A231="DNF"),0,QUOTIENT(Données_Planning!K229,60)))</f>
        <v>0</v>
      </c>
      <c r="V231" s="7" t="str">
        <f t="shared" si="34"/>
        <v>min</v>
      </c>
      <c r="W231" s="36">
        <f>(IF(OR(A231="DWF",A231="DNF"),Données_Planning!K229,MOD(Données_Planning!K229,60)))</f>
        <v>0</v>
      </c>
      <c r="X231" s="38" t="str">
        <f t="shared" si="35"/>
        <v>s</v>
      </c>
      <c r="Y231" s="42"/>
    </row>
    <row r="232" spans="1:25" ht="15.75" x14ac:dyDescent="0.25">
      <c r="A232" s="4">
        <f>Données_Planning!A230</f>
        <v>0</v>
      </c>
      <c r="B232" s="6">
        <f>Données_Planning!B230</f>
        <v>0</v>
      </c>
      <c r="C232" s="28">
        <f>Données_Planning!C230</f>
        <v>0</v>
      </c>
      <c r="D232" s="50">
        <f t="shared" si="27"/>
        <v>0</v>
      </c>
      <c r="E232" s="51">
        <f t="shared" si="28"/>
        <v>0</v>
      </c>
      <c r="F232" s="52">
        <f t="shared" si="29"/>
        <v>0</v>
      </c>
      <c r="G232" s="47">
        <f>Données_Planning!L230</f>
        <v>0</v>
      </c>
      <c r="H232" s="18">
        <f>Données_Planning!H230</f>
        <v>0</v>
      </c>
      <c r="I232" s="5">
        <f>Données_Planning!D230</f>
        <v>0</v>
      </c>
      <c r="J232" s="22">
        <f>Données_Planning!F230</f>
        <v>0</v>
      </c>
      <c r="K232" s="22">
        <f>Données_Planning!E230</f>
        <v>0</v>
      </c>
      <c r="L232" s="35">
        <f>Données_Planning!G230</f>
        <v>0</v>
      </c>
      <c r="M232" s="37">
        <f>(IF(OR(A232="DWF",A232="DNF"),0,QUOTIENT(Données_Planning!J230,60)))</f>
        <v>0</v>
      </c>
      <c r="N232" s="7" t="str">
        <f t="shared" si="30"/>
        <v>min</v>
      </c>
      <c r="O232" s="36">
        <f>(IF(OR(A232="DWF",A232="DNF"),Données_Planning!J230,MOD(Données_Planning!J230,60)))</f>
        <v>0</v>
      </c>
      <c r="P232" s="28" t="str">
        <f t="shared" si="31"/>
        <v>s</v>
      </c>
      <c r="Q232" s="37">
        <f>(IF(OR(A232="DWF",A232="DNF"),0,QUOTIENT(Données_Planning!I230,60)))</f>
        <v>0</v>
      </c>
      <c r="R232" s="7" t="str">
        <f t="shared" si="32"/>
        <v>min</v>
      </c>
      <c r="S232" s="36">
        <f>(IF(OR(A232="DWF",A232="DNF"),Données_Planning!I230,MOD(Données_Planning!I230,60)))</f>
        <v>0</v>
      </c>
      <c r="T232" s="28" t="str">
        <f t="shared" si="33"/>
        <v>s</v>
      </c>
      <c r="U232" s="37">
        <f>(IF(OR(A232="DWF",A232="DNF"),0,QUOTIENT(Données_Planning!K230,60)))</f>
        <v>0</v>
      </c>
      <c r="V232" s="7" t="str">
        <f t="shared" si="34"/>
        <v>min</v>
      </c>
      <c r="W232" s="36">
        <f>(IF(OR(A232="DWF",A232="DNF"),Données_Planning!K230,MOD(Données_Planning!K230,60)))</f>
        <v>0</v>
      </c>
      <c r="X232" s="38" t="str">
        <f t="shared" si="35"/>
        <v>s</v>
      </c>
      <c r="Y232" s="42"/>
    </row>
    <row r="233" spans="1:25" ht="15.75" x14ac:dyDescent="0.25">
      <c r="A233" s="4">
        <f>Données_Planning!A231</f>
        <v>0</v>
      </c>
      <c r="B233" s="6">
        <f>Données_Planning!B231</f>
        <v>0</v>
      </c>
      <c r="C233" s="28">
        <f>Données_Planning!C231</f>
        <v>0</v>
      </c>
      <c r="D233" s="50">
        <f t="shared" si="27"/>
        <v>0</v>
      </c>
      <c r="E233" s="51">
        <f t="shared" si="28"/>
        <v>0</v>
      </c>
      <c r="F233" s="52">
        <f t="shared" si="29"/>
        <v>0</v>
      </c>
      <c r="G233" s="47">
        <f>Données_Planning!L231</f>
        <v>0</v>
      </c>
      <c r="H233" s="18">
        <f>Données_Planning!H231</f>
        <v>0</v>
      </c>
      <c r="I233" s="5">
        <f>Données_Planning!D231</f>
        <v>0</v>
      </c>
      <c r="J233" s="22">
        <f>Données_Planning!F231</f>
        <v>0</v>
      </c>
      <c r="K233" s="22">
        <f>Données_Planning!E231</f>
        <v>0</v>
      </c>
      <c r="L233" s="35">
        <f>Données_Planning!G231</f>
        <v>0</v>
      </c>
      <c r="M233" s="37">
        <f>(IF(OR(A233="DWF",A233="DNF"),0,QUOTIENT(Données_Planning!J231,60)))</f>
        <v>0</v>
      </c>
      <c r="N233" s="7" t="str">
        <f t="shared" si="30"/>
        <v>min</v>
      </c>
      <c r="O233" s="36">
        <f>(IF(OR(A233="DWF",A233="DNF"),Données_Planning!J231,MOD(Données_Planning!J231,60)))</f>
        <v>0</v>
      </c>
      <c r="P233" s="28" t="str">
        <f t="shared" si="31"/>
        <v>s</v>
      </c>
      <c r="Q233" s="37">
        <f>(IF(OR(A233="DWF",A233="DNF"),0,QUOTIENT(Données_Planning!I231,60)))</f>
        <v>0</v>
      </c>
      <c r="R233" s="7" t="str">
        <f t="shared" si="32"/>
        <v>min</v>
      </c>
      <c r="S233" s="36">
        <f>(IF(OR(A233="DWF",A233="DNF"),Données_Planning!I231,MOD(Données_Planning!I231,60)))</f>
        <v>0</v>
      </c>
      <c r="T233" s="28" t="str">
        <f t="shared" si="33"/>
        <v>s</v>
      </c>
      <c r="U233" s="37">
        <f>(IF(OR(A233="DWF",A233="DNF"),0,QUOTIENT(Données_Planning!K231,60)))</f>
        <v>0</v>
      </c>
      <c r="V233" s="7" t="str">
        <f t="shared" si="34"/>
        <v>min</v>
      </c>
      <c r="W233" s="36">
        <f>(IF(OR(A233="DWF",A233="DNF"),Données_Planning!K231,MOD(Données_Planning!K231,60)))</f>
        <v>0</v>
      </c>
      <c r="X233" s="38" t="str">
        <f t="shared" si="35"/>
        <v>s</v>
      </c>
      <c r="Y233" s="42"/>
    </row>
    <row r="234" spans="1:25" ht="15.75" x14ac:dyDescent="0.25">
      <c r="A234" s="4">
        <f>Données_Planning!A232</f>
        <v>0</v>
      </c>
      <c r="B234" s="6">
        <f>Données_Planning!B232</f>
        <v>0</v>
      </c>
      <c r="C234" s="28">
        <f>Données_Planning!C232</f>
        <v>0</v>
      </c>
      <c r="D234" s="50">
        <f t="shared" si="27"/>
        <v>0</v>
      </c>
      <c r="E234" s="51">
        <f t="shared" si="28"/>
        <v>0</v>
      </c>
      <c r="F234" s="52">
        <f t="shared" si="29"/>
        <v>0</v>
      </c>
      <c r="G234" s="47">
        <f>Données_Planning!L232</f>
        <v>0</v>
      </c>
      <c r="H234" s="18">
        <f>Données_Planning!H232</f>
        <v>0</v>
      </c>
      <c r="I234" s="5">
        <f>Données_Planning!D232</f>
        <v>0</v>
      </c>
      <c r="J234" s="22">
        <f>Données_Planning!F232</f>
        <v>0</v>
      </c>
      <c r="K234" s="22">
        <f>Données_Planning!E232</f>
        <v>0</v>
      </c>
      <c r="L234" s="35">
        <f>Données_Planning!G232</f>
        <v>0</v>
      </c>
      <c r="M234" s="37">
        <f>(IF(OR(A234="DWF",A234="DNF"),0,QUOTIENT(Données_Planning!J232,60)))</f>
        <v>0</v>
      </c>
      <c r="N234" s="7" t="str">
        <f t="shared" si="30"/>
        <v>min</v>
      </c>
      <c r="O234" s="36">
        <f>(IF(OR(A234="DWF",A234="DNF"),Données_Planning!J232,MOD(Données_Planning!J232,60)))</f>
        <v>0</v>
      </c>
      <c r="P234" s="28" t="str">
        <f t="shared" si="31"/>
        <v>s</v>
      </c>
      <c r="Q234" s="37">
        <f>(IF(OR(A234="DWF",A234="DNF"),0,QUOTIENT(Données_Planning!I232,60)))</f>
        <v>0</v>
      </c>
      <c r="R234" s="7" t="str">
        <f t="shared" si="32"/>
        <v>min</v>
      </c>
      <c r="S234" s="36">
        <f>(IF(OR(A234="DWF",A234="DNF"),Données_Planning!I232,MOD(Données_Planning!I232,60)))</f>
        <v>0</v>
      </c>
      <c r="T234" s="28" t="str">
        <f t="shared" si="33"/>
        <v>s</v>
      </c>
      <c r="U234" s="37">
        <f>(IF(OR(A234="DWF",A234="DNF"),0,QUOTIENT(Données_Planning!K232,60)))</f>
        <v>0</v>
      </c>
      <c r="V234" s="7" t="str">
        <f t="shared" si="34"/>
        <v>min</v>
      </c>
      <c r="W234" s="36">
        <f>(IF(OR(A234="DWF",A234="DNF"),Données_Planning!K232,MOD(Données_Planning!K232,60)))</f>
        <v>0</v>
      </c>
      <c r="X234" s="38" t="str">
        <f t="shared" si="35"/>
        <v>s</v>
      </c>
      <c r="Y234" s="42"/>
    </row>
    <row r="235" spans="1:25" ht="15.75" x14ac:dyDescent="0.25">
      <c r="A235" s="4">
        <f>Données_Planning!A233</f>
        <v>0</v>
      </c>
      <c r="B235" s="6">
        <f>Données_Planning!B233</f>
        <v>0</v>
      </c>
      <c r="C235" s="28">
        <f>Données_Planning!C233</f>
        <v>0</v>
      </c>
      <c r="D235" s="50">
        <f t="shared" si="27"/>
        <v>0</v>
      </c>
      <c r="E235" s="51">
        <f t="shared" si="28"/>
        <v>0</v>
      </c>
      <c r="F235" s="52">
        <f t="shared" si="29"/>
        <v>0</v>
      </c>
      <c r="G235" s="47">
        <f>Données_Planning!L233</f>
        <v>0</v>
      </c>
      <c r="H235" s="18">
        <f>Données_Planning!H233</f>
        <v>0</v>
      </c>
      <c r="I235" s="5">
        <f>Données_Planning!D233</f>
        <v>0</v>
      </c>
      <c r="J235" s="22">
        <f>Données_Planning!F233</f>
        <v>0</v>
      </c>
      <c r="K235" s="22">
        <f>Données_Planning!E233</f>
        <v>0</v>
      </c>
      <c r="L235" s="35">
        <f>Données_Planning!G233</f>
        <v>0</v>
      </c>
      <c r="M235" s="37">
        <f>(IF(OR(A235="DWF",A235="DNF"),0,QUOTIENT(Données_Planning!J233,60)))</f>
        <v>0</v>
      </c>
      <c r="N235" s="7" t="str">
        <f t="shared" si="30"/>
        <v>min</v>
      </c>
      <c r="O235" s="36">
        <f>(IF(OR(A235="DWF",A235="DNF"),Données_Planning!J233,MOD(Données_Planning!J233,60)))</f>
        <v>0</v>
      </c>
      <c r="P235" s="28" t="str">
        <f t="shared" si="31"/>
        <v>s</v>
      </c>
      <c r="Q235" s="37">
        <f>(IF(OR(A235="DWF",A235="DNF"),0,QUOTIENT(Données_Planning!I233,60)))</f>
        <v>0</v>
      </c>
      <c r="R235" s="7" t="str">
        <f t="shared" si="32"/>
        <v>min</v>
      </c>
      <c r="S235" s="36">
        <f>(IF(OR(A235="DWF",A235="DNF"),Données_Planning!I233,MOD(Données_Planning!I233,60)))</f>
        <v>0</v>
      </c>
      <c r="T235" s="28" t="str">
        <f t="shared" si="33"/>
        <v>s</v>
      </c>
      <c r="U235" s="37">
        <f>(IF(OR(A235="DWF",A235="DNF"),0,QUOTIENT(Données_Planning!K233,60)))</f>
        <v>0</v>
      </c>
      <c r="V235" s="7" t="str">
        <f t="shared" si="34"/>
        <v>min</v>
      </c>
      <c r="W235" s="36">
        <f>(IF(OR(A235="DWF",A235="DNF"),Données_Planning!K233,MOD(Données_Planning!K233,60)))</f>
        <v>0</v>
      </c>
      <c r="X235" s="38" t="str">
        <f t="shared" si="35"/>
        <v>s</v>
      </c>
      <c r="Y235" s="42"/>
    </row>
    <row r="236" spans="1:25" ht="15.75" x14ac:dyDescent="0.25">
      <c r="A236" s="4">
        <f>Données_Planning!A234</f>
        <v>0</v>
      </c>
      <c r="B236" s="6">
        <f>Données_Planning!B234</f>
        <v>0</v>
      </c>
      <c r="C236" s="28">
        <f>Données_Planning!C234</f>
        <v>0</v>
      </c>
      <c r="D236" s="50">
        <f t="shared" si="27"/>
        <v>0</v>
      </c>
      <c r="E236" s="51">
        <f t="shared" si="28"/>
        <v>0</v>
      </c>
      <c r="F236" s="52">
        <f t="shared" si="29"/>
        <v>0</v>
      </c>
      <c r="G236" s="47">
        <f>Données_Planning!L234</f>
        <v>0</v>
      </c>
      <c r="H236" s="18">
        <f>Données_Planning!H234</f>
        <v>0</v>
      </c>
      <c r="I236" s="5">
        <f>Données_Planning!D234</f>
        <v>0</v>
      </c>
      <c r="J236" s="22">
        <f>Données_Planning!F234</f>
        <v>0</v>
      </c>
      <c r="K236" s="22">
        <f>Données_Planning!E234</f>
        <v>0</v>
      </c>
      <c r="L236" s="35">
        <f>Données_Planning!G234</f>
        <v>0</v>
      </c>
      <c r="M236" s="37">
        <f>(IF(OR(A236="DWF",A236="DNF"),0,QUOTIENT(Données_Planning!J234,60)))</f>
        <v>0</v>
      </c>
      <c r="N236" s="7" t="str">
        <f t="shared" si="30"/>
        <v>min</v>
      </c>
      <c r="O236" s="36">
        <f>(IF(OR(A236="DWF",A236="DNF"),Données_Planning!J234,MOD(Données_Planning!J234,60)))</f>
        <v>0</v>
      </c>
      <c r="P236" s="28" t="str">
        <f t="shared" si="31"/>
        <v>s</v>
      </c>
      <c r="Q236" s="37">
        <f>(IF(OR(A236="DWF",A236="DNF"),0,QUOTIENT(Données_Planning!I234,60)))</f>
        <v>0</v>
      </c>
      <c r="R236" s="7" t="str">
        <f t="shared" si="32"/>
        <v>min</v>
      </c>
      <c r="S236" s="36">
        <f>(IF(OR(A236="DWF",A236="DNF"),Données_Planning!I234,MOD(Données_Planning!I234,60)))</f>
        <v>0</v>
      </c>
      <c r="T236" s="28" t="str">
        <f t="shared" si="33"/>
        <v>s</v>
      </c>
      <c r="U236" s="37">
        <f>(IF(OR(A236="DWF",A236="DNF"),0,QUOTIENT(Données_Planning!K234,60)))</f>
        <v>0</v>
      </c>
      <c r="V236" s="7" t="str">
        <f t="shared" si="34"/>
        <v>min</v>
      </c>
      <c r="W236" s="36">
        <f>(IF(OR(A236="DWF",A236="DNF"),Données_Planning!K234,MOD(Données_Planning!K234,60)))</f>
        <v>0</v>
      </c>
      <c r="X236" s="38" t="str">
        <f t="shared" si="35"/>
        <v>s</v>
      </c>
      <c r="Y236" s="42"/>
    </row>
    <row r="237" spans="1:25" ht="15.75" x14ac:dyDescent="0.25">
      <c r="A237" s="4">
        <f>Données_Planning!A235</f>
        <v>0</v>
      </c>
      <c r="B237" s="6">
        <f>Données_Planning!B235</f>
        <v>0</v>
      </c>
      <c r="C237" s="28">
        <f>Données_Planning!C235</f>
        <v>0</v>
      </c>
      <c r="D237" s="50">
        <f t="shared" si="27"/>
        <v>0</v>
      </c>
      <c r="E237" s="51">
        <f t="shared" si="28"/>
        <v>0</v>
      </c>
      <c r="F237" s="52">
        <f t="shared" si="29"/>
        <v>0</v>
      </c>
      <c r="G237" s="47">
        <f>Données_Planning!L235</f>
        <v>0</v>
      </c>
      <c r="H237" s="18">
        <f>Données_Planning!H235</f>
        <v>0</v>
      </c>
      <c r="I237" s="5">
        <f>Données_Planning!D235</f>
        <v>0</v>
      </c>
      <c r="J237" s="22">
        <f>Données_Planning!F235</f>
        <v>0</v>
      </c>
      <c r="K237" s="22">
        <f>Données_Planning!E235</f>
        <v>0</v>
      </c>
      <c r="L237" s="35">
        <f>Données_Planning!G235</f>
        <v>0</v>
      </c>
      <c r="M237" s="37">
        <f>(IF(OR(A237="DWF",A237="DNF"),0,QUOTIENT(Données_Planning!J235,60)))</f>
        <v>0</v>
      </c>
      <c r="N237" s="7" t="str">
        <f t="shared" si="30"/>
        <v>min</v>
      </c>
      <c r="O237" s="36">
        <f>(IF(OR(A237="DWF",A237="DNF"),Données_Planning!J235,MOD(Données_Planning!J235,60)))</f>
        <v>0</v>
      </c>
      <c r="P237" s="28" t="str">
        <f t="shared" si="31"/>
        <v>s</v>
      </c>
      <c r="Q237" s="37">
        <f>(IF(OR(A237="DWF",A237="DNF"),0,QUOTIENT(Données_Planning!I235,60)))</f>
        <v>0</v>
      </c>
      <c r="R237" s="7" t="str">
        <f t="shared" si="32"/>
        <v>min</v>
      </c>
      <c r="S237" s="36">
        <f>(IF(OR(A237="DWF",A237="DNF"),Données_Planning!I235,MOD(Données_Planning!I235,60)))</f>
        <v>0</v>
      </c>
      <c r="T237" s="28" t="str">
        <f t="shared" si="33"/>
        <v>s</v>
      </c>
      <c r="U237" s="37">
        <f>(IF(OR(A237="DWF",A237="DNF"),0,QUOTIENT(Données_Planning!K235,60)))</f>
        <v>0</v>
      </c>
      <c r="V237" s="7" t="str">
        <f t="shared" si="34"/>
        <v>min</v>
      </c>
      <c r="W237" s="36">
        <f>(IF(OR(A237="DWF",A237="DNF"),Données_Planning!K235,MOD(Données_Planning!K235,60)))</f>
        <v>0</v>
      </c>
      <c r="X237" s="38" t="str">
        <f t="shared" si="35"/>
        <v>s</v>
      </c>
      <c r="Y237" s="42"/>
    </row>
    <row r="238" spans="1:25" ht="15.75" x14ac:dyDescent="0.25">
      <c r="A238" s="4">
        <f>Données_Planning!A236</f>
        <v>0</v>
      </c>
      <c r="B238" s="6">
        <f>Données_Planning!B236</f>
        <v>0</v>
      </c>
      <c r="C238" s="28">
        <f>Données_Planning!C236</f>
        <v>0</v>
      </c>
      <c r="D238" s="50">
        <f t="shared" si="27"/>
        <v>0</v>
      </c>
      <c r="E238" s="51">
        <f t="shared" si="28"/>
        <v>0</v>
      </c>
      <c r="F238" s="52">
        <f t="shared" si="29"/>
        <v>0</v>
      </c>
      <c r="G238" s="47">
        <f>Données_Planning!L236</f>
        <v>0</v>
      </c>
      <c r="H238" s="18">
        <f>Données_Planning!H236</f>
        <v>0</v>
      </c>
      <c r="I238" s="5">
        <f>Données_Planning!D236</f>
        <v>0</v>
      </c>
      <c r="J238" s="22">
        <f>Données_Planning!F236</f>
        <v>0</v>
      </c>
      <c r="K238" s="22">
        <f>Données_Planning!E236</f>
        <v>0</v>
      </c>
      <c r="L238" s="35">
        <f>Données_Planning!G236</f>
        <v>0</v>
      </c>
      <c r="M238" s="37">
        <f>(IF(OR(A238="DWF",A238="DNF"),0,QUOTIENT(Données_Planning!J236,60)))</f>
        <v>0</v>
      </c>
      <c r="N238" s="7" t="str">
        <f t="shared" si="30"/>
        <v>min</v>
      </c>
      <c r="O238" s="36">
        <f>(IF(OR(A238="DWF",A238="DNF"),Données_Planning!J236,MOD(Données_Planning!J236,60)))</f>
        <v>0</v>
      </c>
      <c r="P238" s="28" t="str">
        <f t="shared" si="31"/>
        <v>s</v>
      </c>
      <c r="Q238" s="37">
        <f>(IF(OR(A238="DWF",A238="DNF"),0,QUOTIENT(Données_Planning!I236,60)))</f>
        <v>0</v>
      </c>
      <c r="R238" s="7" t="str">
        <f t="shared" si="32"/>
        <v>min</v>
      </c>
      <c r="S238" s="36">
        <f>(IF(OR(A238="DWF",A238="DNF"),Données_Planning!I236,MOD(Données_Planning!I236,60)))</f>
        <v>0</v>
      </c>
      <c r="T238" s="28" t="str">
        <f t="shared" si="33"/>
        <v>s</v>
      </c>
      <c r="U238" s="37">
        <f>(IF(OR(A238="DWF",A238="DNF"),0,QUOTIENT(Données_Planning!K236,60)))</f>
        <v>0</v>
      </c>
      <c r="V238" s="7" t="str">
        <f t="shared" si="34"/>
        <v>min</v>
      </c>
      <c r="W238" s="36">
        <f>(IF(OR(A238="DWF",A238="DNF"),Données_Planning!K236,MOD(Données_Planning!K236,60)))</f>
        <v>0</v>
      </c>
      <c r="X238" s="38" t="str">
        <f t="shared" si="35"/>
        <v>s</v>
      </c>
      <c r="Y238" s="42"/>
    </row>
    <row r="239" spans="1:25" ht="15.75" x14ac:dyDescent="0.25">
      <c r="A239" s="4">
        <f>Données_Planning!A237</f>
        <v>0</v>
      </c>
      <c r="B239" s="6">
        <f>Données_Planning!B237</f>
        <v>0</v>
      </c>
      <c r="C239" s="28">
        <f>Données_Planning!C237</f>
        <v>0</v>
      </c>
      <c r="D239" s="50">
        <f t="shared" si="27"/>
        <v>0</v>
      </c>
      <c r="E239" s="51">
        <f t="shared" si="28"/>
        <v>0</v>
      </c>
      <c r="F239" s="52">
        <f t="shared" si="29"/>
        <v>0</v>
      </c>
      <c r="G239" s="47">
        <f>Données_Planning!L237</f>
        <v>0</v>
      </c>
      <c r="H239" s="18">
        <f>Données_Planning!H237</f>
        <v>0</v>
      </c>
      <c r="I239" s="5">
        <f>Données_Planning!D237</f>
        <v>0</v>
      </c>
      <c r="J239" s="22">
        <f>Données_Planning!F237</f>
        <v>0</v>
      </c>
      <c r="K239" s="22">
        <f>Données_Planning!E237</f>
        <v>0</v>
      </c>
      <c r="L239" s="35">
        <f>Données_Planning!G237</f>
        <v>0</v>
      </c>
      <c r="M239" s="37">
        <f>(IF(OR(A239="DWF",A239="DNF"),0,QUOTIENT(Données_Planning!J237,60)))</f>
        <v>0</v>
      </c>
      <c r="N239" s="7" t="str">
        <f t="shared" si="30"/>
        <v>min</v>
      </c>
      <c r="O239" s="36">
        <f>(IF(OR(A239="DWF",A239="DNF"),Données_Planning!J237,MOD(Données_Planning!J237,60)))</f>
        <v>0</v>
      </c>
      <c r="P239" s="28" t="str">
        <f t="shared" si="31"/>
        <v>s</v>
      </c>
      <c r="Q239" s="37">
        <f>(IF(OR(A239="DWF",A239="DNF"),0,QUOTIENT(Données_Planning!I237,60)))</f>
        <v>0</v>
      </c>
      <c r="R239" s="7" t="str">
        <f t="shared" si="32"/>
        <v>min</v>
      </c>
      <c r="S239" s="36">
        <f>(IF(OR(A239="DWF",A239="DNF"),Données_Planning!I237,MOD(Données_Planning!I237,60)))</f>
        <v>0</v>
      </c>
      <c r="T239" s="28" t="str">
        <f t="shared" si="33"/>
        <v>s</v>
      </c>
      <c r="U239" s="37">
        <f>(IF(OR(A239="DWF",A239="DNF"),0,QUOTIENT(Données_Planning!K237,60)))</f>
        <v>0</v>
      </c>
      <c r="V239" s="7" t="str">
        <f t="shared" si="34"/>
        <v>min</v>
      </c>
      <c r="W239" s="36">
        <f>(IF(OR(A239="DWF",A239="DNF"),Données_Planning!K237,MOD(Données_Planning!K237,60)))</f>
        <v>0</v>
      </c>
      <c r="X239" s="38" t="str">
        <f t="shared" si="35"/>
        <v>s</v>
      </c>
      <c r="Y239" s="42"/>
    </row>
    <row r="240" spans="1:25" ht="15.75" x14ac:dyDescent="0.25">
      <c r="A240" s="4">
        <f>Données_Planning!A238</f>
        <v>0</v>
      </c>
      <c r="B240" s="6">
        <f>Données_Planning!B238</f>
        <v>0</v>
      </c>
      <c r="C240" s="28">
        <f>Données_Planning!C238</f>
        <v>0</v>
      </c>
      <c r="D240" s="50">
        <f t="shared" si="27"/>
        <v>0</v>
      </c>
      <c r="E240" s="51">
        <f t="shared" si="28"/>
        <v>0</v>
      </c>
      <c r="F240" s="52">
        <f t="shared" si="29"/>
        <v>0</v>
      </c>
      <c r="G240" s="47">
        <f>Données_Planning!L238</f>
        <v>0</v>
      </c>
      <c r="H240" s="18">
        <f>Données_Planning!H238</f>
        <v>0</v>
      </c>
      <c r="I240" s="5">
        <f>Données_Planning!D238</f>
        <v>0</v>
      </c>
      <c r="J240" s="22">
        <f>Données_Planning!F238</f>
        <v>0</v>
      </c>
      <c r="K240" s="22">
        <f>Données_Planning!E238</f>
        <v>0</v>
      </c>
      <c r="L240" s="35">
        <f>Données_Planning!G238</f>
        <v>0</v>
      </c>
      <c r="M240" s="37">
        <f>(IF(OR(A240="DWF",A240="DNF"),0,QUOTIENT(Données_Planning!J238,60)))</f>
        <v>0</v>
      </c>
      <c r="N240" s="7" t="str">
        <f t="shared" si="30"/>
        <v>min</v>
      </c>
      <c r="O240" s="36">
        <f>(IF(OR(A240="DWF",A240="DNF"),Données_Planning!J238,MOD(Données_Planning!J238,60)))</f>
        <v>0</v>
      </c>
      <c r="P240" s="28" t="str">
        <f t="shared" si="31"/>
        <v>s</v>
      </c>
      <c r="Q240" s="37">
        <f>(IF(OR(A240="DWF",A240="DNF"),0,QUOTIENT(Données_Planning!I238,60)))</f>
        <v>0</v>
      </c>
      <c r="R240" s="7" t="str">
        <f t="shared" si="32"/>
        <v>min</v>
      </c>
      <c r="S240" s="36">
        <f>(IF(OR(A240="DWF",A240="DNF"),Données_Planning!I238,MOD(Données_Planning!I238,60)))</f>
        <v>0</v>
      </c>
      <c r="T240" s="28" t="str">
        <f t="shared" si="33"/>
        <v>s</v>
      </c>
      <c r="U240" s="37">
        <f>(IF(OR(A240="DWF",A240="DNF"),0,QUOTIENT(Données_Planning!K238,60)))</f>
        <v>0</v>
      </c>
      <c r="V240" s="7" t="str">
        <f t="shared" si="34"/>
        <v>min</v>
      </c>
      <c r="W240" s="36">
        <f>(IF(OR(A240="DWF",A240="DNF"),Données_Planning!K238,MOD(Données_Planning!K238,60)))</f>
        <v>0</v>
      </c>
      <c r="X240" s="38" t="str">
        <f t="shared" si="35"/>
        <v>s</v>
      </c>
      <c r="Y240" s="42"/>
    </row>
    <row r="241" spans="1:25" ht="15.75" x14ac:dyDescent="0.25">
      <c r="A241" s="4">
        <f>Données_Planning!A239</f>
        <v>0</v>
      </c>
      <c r="B241" s="6">
        <f>Données_Planning!B239</f>
        <v>0</v>
      </c>
      <c r="C241" s="28">
        <f>Données_Planning!C239</f>
        <v>0</v>
      </c>
      <c r="D241" s="50">
        <f t="shared" si="27"/>
        <v>0</v>
      </c>
      <c r="E241" s="51">
        <f t="shared" si="28"/>
        <v>0</v>
      </c>
      <c r="F241" s="52">
        <f t="shared" si="29"/>
        <v>0</v>
      </c>
      <c r="G241" s="47">
        <f>Données_Planning!L239</f>
        <v>0</v>
      </c>
      <c r="H241" s="18">
        <f>Données_Planning!H239</f>
        <v>0</v>
      </c>
      <c r="I241" s="5">
        <f>Données_Planning!D239</f>
        <v>0</v>
      </c>
      <c r="J241" s="22">
        <f>Données_Planning!F239</f>
        <v>0</v>
      </c>
      <c r="K241" s="22">
        <f>Données_Planning!E239</f>
        <v>0</v>
      </c>
      <c r="L241" s="35">
        <f>Données_Planning!G239</f>
        <v>0</v>
      </c>
      <c r="M241" s="37">
        <f>(IF(OR(A241="DWF",A241="DNF"),0,QUOTIENT(Données_Planning!J239,60)))</f>
        <v>0</v>
      </c>
      <c r="N241" s="7" t="str">
        <f t="shared" si="30"/>
        <v>min</v>
      </c>
      <c r="O241" s="36">
        <f>(IF(OR(A241="DWF",A241="DNF"),Données_Planning!J239,MOD(Données_Planning!J239,60)))</f>
        <v>0</v>
      </c>
      <c r="P241" s="28" t="str">
        <f t="shared" si="31"/>
        <v>s</v>
      </c>
      <c r="Q241" s="37">
        <f>(IF(OR(A241="DWF",A241="DNF"),0,QUOTIENT(Données_Planning!I239,60)))</f>
        <v>0</v>
      </c>
      <c r="R241" s="7" t="str">
        <f t="shared" si="32"/>
        <v>min</v>
      </c>
      <c r="S241" s="36">
        <f>(IF(OR(A241="DWF",A241="DNF"),Données_Planning!I239,MOD(Données_Planning!I239,60)))</f>
        <v>0</v>
      </c>
      <c r="T241" s="28" t="str">
        <f t="shared" si="33"/>
        <v>s</v>
      </c>
      <c r="U241" s="37">
        <f>(IF(OR(A241="DWF",A241="DNF"),0,QUOTIENT(Données_Planning!K239,60)))</f>
        <v>0</v>
      </c>
      <c r="V241" s="7" t="str">
        <f t="shared" si="34"/>
        <v>min</v>
      </c>
      <c r="W241" s="36">
        <f>(IF(OR(A241="DWF",A241="DNF"),Données_Planning!K239,MOD(Données_Planning!K239,60)))</f>
        <v>0</v>
      </c>
      <c r="X241" s="38" t="str">
        <f t="shared" si="35"/>
        <v>s</v>
      </c>
      <c r="Y241" s="42"/>
    </row>
    <row r="242" spans="1:25" ht="15.75" x14ac:dyDescent="0.25">
      <c r="A242" s="4">
        <f>Données_Planning!A240</f>
        <v>0</v>
      </c>
      <c r="B242" s="6">
        <f>Données_Planning!B240</f>
        <v>0</v>
      </c>
      <c r="C242" s="28">
        <f>Données_Planning!C240</f>
        <v>0</v>
      </c>
      <c r="D242" s="50">
        <f t="shared" si="27"/>
        <v>0</v>
      </c>
      <c r="E242" s="51">
        <f t="shared" si="28"/>
        <v>0</v>
      </c>
      <c r="F242" s="52">
        <f t="shared" si="29"/>
        <v>0</v>
      </c>
      <c r="G242" s="47">
        <f>Données_Planning!L240</f>
        <v>0</v>
      </c>
      <c r="H242" s="18">
        <f>Données_Planning!H240</f>
        <v>0</v>
      </c>
      <c r="I242" s="5">
        <f>Données_Planning!D240</f>
        <v>0</v>
      </c>
      <c r="J242" s="22">
        <f>Données_Planning!F240</f>
        <v>0</v>
      </c>
      <c r="K242" s="22">
        <f>Données_Planning!E240</f>
        <v>0</v>
      </c>
      <c r="L242" s="35">
        <f>Données_Planning!G240</f>
        <v>0</v>
      </c>
      <c r="M242" s="37">
        <f>(IF(OR(A242="DWF",A242="DNF"),0,QUOTIENT(Données_Planning!J240,60)))</f>
        <v>0</v>
      </c>
      <c r="N242" s="7" t="str">
        <f t="shared" si="30"/>
        <v>min</v>
      </c>
      <c r="O242" s="36">
        <f>(IF(OR(A242="DWF",A242="DNF"),Données_Planning!J240,MOD(Données_Planning!J240,60)))</f>
        <v>0</v>
      </c>
      <c r="P242" s="28" t="str">
        <f t="shared" si="31"/>
        <v>s</v>
      </c>
      <c r="Q242" s="37">
        <f>(IF(OR(A242="DWF",A242="DNF"),0,QUOTIENT(Données_Planning!I240,60)))</f>
        <v>0</v>
      </c>
      <c r="R242" s="7" t="str">
        <f t="shared" si="32"/>
        <v>min</v>
      </c>
      <c r="S242" s="36">
        <f>(IF(OR(A242="DWF",A242="DNF"),Données_Planning!I240,MOD(Données_Planning!I240,60)))</f>
        <v>0</v>
      </c>
      <c r="T242" s="28" t="str">
        <f t="shared" si="33"/>
        <v>s</v>
      </c>
      <c r="U242" s="37">
        <f>(IF(OR(A242="DWF",A242="DNF"),0,QUOTIENT(Données_Planning!K240,60)))</f>
        <v>0</v>
      </c>
      <c r="V242" s="7" t="str">
        <f t="shared" si="34"/>
        <v>min</v>
      </c>
      <c r="W242" s="36">
        <f>(IF(OR(A242="DWF",A242="DNF"),Données_Planning!K240,MOD(Données_Planning!K240,60)))</f>
        <v>0</v>
      </c>
      <c r="X242" s="38" t="str">
        <f t="shared" si="35"/>
        <v>s</v>
      </c>
      <c r="Y242" s="42"/>
    </row>
    <row r="243" spans="1:25" ht="15.75" x14ac:dyDescent="0.25">
      <c r="A243" s="4">
        <f>Données_Planning!A241</f>
        <v>0</v>
      </c>
      <c r="B243" s="6">
        <f>Données_Planning!B241</f>
        <v>0</v>
      </c>
      <c r="C243" s="28">
        <f>Données_Planning!C241</f>
        <v>0</v>
      </c>
      <c r="D243" s="50">
        <f t="shared" si="27"/>
        <v>0</v>
      </c>
      <c r="E243" s="51">
        <f t="shared" si="28"/>
        <v>0</v>
      </c>
      <c r="F243" s="52">
        <f t="shared" si="29"/>
        <v>0</v>
      </c>
      <c r="G243" s="47">
        <f>Données_Planning!L241</f>
        <v>0</v>
      </c>
      <c r="H243" s="18">
        <f>Données_Planning!H241</f>
        <v>0</v>
      </c>
      <c r="I243" s="5">
        <f>Données_Planning!D241</f>
        <v>0</v>
      </c>
      <c r="J243" s="22">
        <f>Données_Planning!F241</f>
        <v>0</v>
      </c>
      <c r="K243" s="22">
        <f>Données_Planning!E241</f>
        <v>0</v>
      </c>
      <c r="L243" s="35">
        <f>Données_Planning!G241</f>
        <v>0</v>
      </c>
      <c r="M243" s="37">
        <f>(IF(OR(A243="DWF",A243="DNF"),0,QUOTIENT(Données_Planning!J241,60)))</f>
        <v>0</v>
      </c>
      <c r="N243" s="7" t="str">
        <f t="shared" si="30"/>
        <v>min</v>
      </c>
      <c r="O243" s="36">
        <f>(IF(OR(A243="DWF",A243="DNF"),Données_Planning!J241,MOD(Données_Planning!J241,60)))</f>
        <v>0</v>
      </c>
      <c r="P243" s="28" t="str">
        <f t="shared" si="31"/>
        <v>s</v>
      </c>
      <c r="Q243" s="37">
        <f>(IF(OR(A243="DWF",A243="DNF"),0,QUOTIENT(Données_Planning!I241,60)))</f>
        <v>0</v>
      </c>
      <c r="R243" s="7" t="str">
        <f t="shared" si="32"/>
        <v>min</v>
      </c>
      <c r="S243" s="36">
        <f>(IF(OR(A243="DWF",A243="DNF"),Données_Planning!I241,MOD(Données_Planning!I241,60)))</f>
        <v>0</v>
      </c>
      <c r="T243" s="28" t="str">
        <f t="shared" si="33"/>
        <v>s</v>
      </c>
      <c r="U243" s="37">
        <f>(IF(OR(A243="DWF",A243="DNF"),0,QUOTIENT(Données_Planning!K241,60)))</f>
        <v>0</v>
      </c>
      <c r="V243" s="7" t="str">
        <f t="shared" si="34"/>
        <v>min</v>
      </c>
      <c r="W243" s="36">
        <f>(IF(OR(A243="DWF",A243="DNF"),Données_Planning!K241,MOD(Données_Planning!K241,60)))</f>
        <v>0</v>
      </c>
      <c r="X243" s="38" t="str">
        <f t="shared" si="35"/>
        <v>s</v>
      </c>
      <c r="Y243" s="42"/>
    </row>
    <row r="244" spans="1:25" ht="15.75" x14ac:dyDescent="0.25">
      <c r="A244" s="4">
        <f>Données_Planning!A242</f>
        <v>0</v>
      </c>
      <c r="B244" s="6">
        <f>Données_Planning!B242</f>
        <v>0</v>
      </c>
      <c r="C244" s="28">
        <f>Données_Planning!C242</f>
        <v>0</v>
      </c>
      <c r="D244" s="50">
        <f t="shared" si="27"/>
        <v>0</v>
      </c>
      <c r="E244" s="51">
        <f t="shared" si="28"/>
        <v>0</v>
      </c>
      <c r="F244" s="52">
        <f t="shared" si="29"/>
        <v>0</v>
      </c>
      <c r="G244" s="47">
        <f>Données_Planning!L242</f>
        <v>0</v>
      </c>
      <c r="H244" s="18">
        <f>Données_Planning!H242</f>
        <v>0</v>
      </c>
      <c r="I244" s="5">
        <f>Données_Planning!D242</f>
        <v>0</v>
      </c>
      <c r="J244" s="22">
        <f>Données_Planning!F242</f>
        <v>0</v>
      </c>
      <c r="K244" s="22">
        <f>Données_Planning!E242</f>
        <v>0</v>
      </c>
      <c r="L244" s="35">
        <f>Données_Planning!G242</f>
        <v>0</v>
      </c>
      <c r="M244" s="37">
        <f>(IF(OR(A244="DWF",A244="DNF"),0,QUOTIENT(Données_Planning!J242,60)))</f>
        <v>0</v>
      </c>
      <c r="N244" s="7" t="str">
        <f t="shared" si="30"/>
        <v>min</v>
      </c>
      <c r="O244" s="36">
        <f>(IF(OR(A244="DWF",A244="DNF"),Données_Planning!J242,MOD(Données_Planning!J242,60)))</f>
        <v>0</v>
      </c>
      <c r="P244" s="28" t="str">
        <f t="shared" si="31"/>
        <v>s</v>
      </c>
      <c r="Q244" s="37">
        <f>(IF(OR(A244="DWF",A244="DNF"),0,QUOTIENT(Données_Planning!I242,60)))</f>
        <v>0</v>
      </c>
      <c r="R244" s="7" t="str">
        <f t="shared" si="32"/>
        <v>min</v>
      </c>
      <c r="S244" s="36">
        <f>(IF(OR(A244="DWF",A244="DNF"),Données_Planning!I242,MOD(Données_Planning!I242,60)))</f>
        <v>0</v>
      </c>
      <c r="T244" s="28" t="str">
        <f t="shared" si="33"/>
        <v>s</v>
      </c>
      <c r="U244" s="37">
        <f>(IF(OR(A244="DWF",A244="DNF"),0,QUOTIENT(Données_Planning!K242,60)))</f>
        <v>0</v>
      </c>
      <c r="V244" s="7" t="str">
        <f t="shared" si="34"/>
        <v>min</v>
      </c>
      <c r="W244" s="36">
        <f>(IF(OR(A244="DWF",A244="DNF"),Données_Planning!K242,MOD(Données_Planning!K242,60)))</f>
        <v>0</v>
      </c>
      <c r="X244" s="38" t="str">
        <f t="shared" si="35"/>
        <v>s</v>
      </c>
      <c r="Y244" s="42"/>
    </row>
    <row r="245" spans="1:25" ht="15.75" x14ac:dyDescent="0.25">
      <c r="A245" s="4">
        <f>Données_Planning!A243</f>
        <v>0</v>
      </c>
      <c r="B245" s="6">
        <f>Données_Planning!B243</f>
        <v>0</v>
      </c>
      <c r="C245" s="28">
        <f>Données_Planning!C243</f>
        <v>0</v>
      </c>
      <c r="D245" s="50">
        <f t="shared" si="27"/>
        <v>0</v>
      </c>
      <c r="E245" s="51">
        <f t="shared" si="28"/>
        <v>0</v>
      </c>
      <c r="F245" s="52">
        <f t="shared" si="29"/>
        <v>0</v>
      </c>
      <c r="G245" s="47">
        <f>Données_Planning!L243</f>
        <v>0</v>
      </c>
      <c r="H245" s="18">
        <f>Données_Planning!H243</f>
        <v>0</v>
      </c>
      <c r="I245" s="5">
        <f>Données_Planning!D243</f>
        <v>0</v>
      </c>
      <c r="J245" s="22">
        <f>Données_Planning!F243</f>
        <v>0</v>
      </c>
      <c r="K245" s="22">
        <f>Données_Planning!E243</f>
        <v>0</v>
      </c>
      <c r="L245" s="35">
        <f>Données_Planning!G243</f>
        <v>0</v>
      </c>
      <c r="M245" s="37">
        <f>(IF(OR(A245="DWF",A245="DNF"),0,QUOTIENT(Données_Planning!J243,60)))</f>
        <v>0</v>
      </c>
      <c r="N245" s="7" t="str">
        <f t="shared" si="30"/>
        <v>min</v>
      </c>
      <c r="O245" s="36">
        <f>(IF(OR(A245="DWF",A245="DNF"),Données_Planning!J243,MOD(Données_Planning!J243,60)))</f>
        <v>0</v>
      </c>
      <c r="P245" s="28" t="str">
        <f t="shared" si="31"/>
        <v>s</v>
      </c>
      <c r="Q245" s="37">
        <f>(IF(OR(A245="DWF",A245="DNF"),0,QUOTIENT(Données_Planning!I243,60)))</f>
        <v>0</v>
      </c>
      <c r="R245" s="7" t="str">
        <f t="shared" si="32"/>
        <v>min</v>
      </c>
      <c r="S245" s="36">
        <f>(IF(OR(A245="DWF",A245="DNF"),Données_Planning!I243,MOD(Données_Planning!I243,60)))</f>
        <v>0</v>
      </c>
      <c r="T245" s="28" t="str">
        <f t="shared" si="33"/>
        <v>s</v>
      </c>
      <c r="U245" s="37">
        <f>(IF(OR(A245="DWF",A245="DNF"),0,QUOTIENT(Données_Planning!K243,60)))</f>
        <v>0</v>
      </c>
      <c r="V245" s="7" t="str">
        <f t="shared" si="34"/>
        <v>min</v>
      </c>
      <c r="W245" s="36">
        <f>(IF(OR(A245="DWF",A245="DNF"),Données_Planning!K243,MOD(Données_Planning!K243,60)))</f>
        <v>0</v>
      </c>
      <c r="X245" s="38" t="str">
        <f t="shared" si="35"/>
        <v>s</v>
      </c>
      <c r="Y245" s="42"/>
    </row>
    <row r="246" spans="1:25" ht="15.75" x14ac:dyDescent="0.25">
      <c r="A246" s="4">
        <f>Données_Planning!A244</f>
        <v>0</v>
      </c>
      <c r="B246" s="6">
        <f>Données_Planning!B244</f>
        <v>0</v>
      </c>
      <c r="C246" s="28">
        <f>Données_Planning!C244</f>
        <v>0</v>
      </c>
      <c r="D246" s="50">
        <f t="shared" si="27"/>
        <v>0</v>
      </c>
      <c r="E246" s="51">
        <f t="shared" si="28"/>
        <v>0</v>
      </c>
      <c r="F246" s="52">
        <f t="shared" si="29"/>
        <v>0</v>
      </c>
      <c r="G246" s="47">
        <f>Données_Planning!L244</f>
        <v>0</v>
      </c>
      <c r="H246" s="18">
        <f>Données_Planning!H244</f>
        <v>0</v>
      </c>
      <c r="I246" s="5">
        <f>Données_Planning!D244</f>
        <v>0</v>
      </c>
      <c r="J246" s="22">
        <f>Données_Planning!F244</f>
        <v>0</v>
      </c>
      <c r="K246" s="22">
        <f>Données_Planning!E244</f>
        <v>0</v>
      </c>
      <c r="L246" s="35">
        <f>Données_Planning!G244</f>
        <v>0</v>
      </c>
      <c r="M246" s="37">
        <f>(IF(OR(A246="DWF",A246="DNF"),0,QUOTIENT(Données_Planning!J244,60)))</f>
        <v>0</v>
      </c>
      <c r="N246" s="7" t="str">
        <f t="shared" si="30"/>
        <v>min</v>
      </c>
      <c r="O246" s="36">
        <f>(IF(OR(A246="DWF",A246="DNF"),Données_Planning!J244,MOD(Données_Planning!J244,60)))</f>
        <v>0</v>
      </c>
      <c r="P246" s="28" t="str">
        <f t="shared" si="31"/>
        <v>s</v>
      </c>
      <c r="Q246" s="37">
        <f>(IF(OR(A246="DWF",A246="DNF"),0,QUOTIENT(Données_Planning!I244,60)))</f>
        <v>0</v>
      </c>
      <c r="R246" s="7" t="str">
        <f t="shared" si="32"/>
        <v>min</v>
      </c>
      <c r="S246" s="36">
        <f>(IF(OR(A246="DWF",A246="DNF"),Données_Planning!I244,MOD(Données_Planning!I244,60)))</f>
        <v>0</v>
      </c>
      <c r="T246" s="28" t="str">
        <f t="shared" si="33"/>
        <v>s</v>
      </c>
      <c r="U246" s="37">
        <f>(IF(OR(A246="DWF",A246="DNF"),0,QUOTIENT(Données_Planning!K244,60)))</f>
        <v>0</v>
      </c>
      <c r="V246" s="7" t="str">
        <f t="shared" si="34"/>
        <v>min</v>
      </c>
      <c r="W246" s="36">
        <f>(IF(OR(A246="DWF",A246="DNF"),Données_Planning!K244,MOD(Données_Planning!K244,60)))</f>
        <v>0</v>
      </c>
      <c r="X246" s="38" t="str">
        <f t="shared" si="35"/>
        <v>s</v>
      </c>
      <c r="Y246" s="42"/>
    </row>
    <row r="247" spans="1:25" ht="15.75" x14ac:dyDescent="0.25">
      <c r="A247" s="4">
        <f>Données_Planning!A245</f>
        <v>0</v>
      </c>
      <c r="B247" s="6">
        <f>Données_Planning!B245</f>
        <v>0</v>
      </c>
      <c r="C247" s="28">
        <f>Données_Planning!C245</f>
        <v>0</v>
      </c>
      <c r="D247" s="50">
        <f t="shared" si="27"/>
        <v>0</v>
      </c>
      <c r="E247" s="51">
        <f t="shared" si="28"/>
        <v>0</v>
      </c>
      <c r="F247" s="52">
        <f t="shared" si="29"/>
        <v>0</v>
      </c>
      <c r="G247" s="47">
        <f>Données_Planning!L245</f>
        <v>0</v>
      </c>
      <c r="H247" s="18">
        <f>Données_Planning!H245</f>
        <v>0</v>
      </c>
      <c r="I247" s="5">
        <f>Données_Planning!D245</f>
        <v>0</v>
      </c>
      <c r="J247" s="22">
        <f>Données_Planning!F245</f>
        <v>0</v>
      </c>
      <c r="K247" s="22">
        <f>Données_Planning!E245</f>
        <v>0</v>
      </c>
      <c r="L247" s="35">
        <f>Données_Planning!G245</f>
        <v>0</v>
      </c>
      <c r="M247" s="37">
        <f>(IF(OR(A247="DWF",A247="DNF"),0,QUOTIENT(Données_Planning!J245,60)))</f>
        <v>0</v>
      </c>
      <c r="N247" s="7" t="str">
        <f t="shared" si="30"/>
        <v>min</v>
      </c>
      <c r="O247" s="36">
        <f>(IF(OR(A247="DWF",A247="DNF"),Données_Planning!J245,MOD(Données_Planning!J245,60)))</f>
        <v>0</v>
      </c>
      <c r="P247" s="28" t="str">
        <f t="shared" si="31"/>
        <v>s</v>
      </c>
      <c r="Q247" s="37">
        <f>(IF(OR(A247="DWF",A247="DNF"),0,QUOTIENT(Données_Planning!I245,60)))</f>
        <v>0</v>
      </c>
      <c r="R247" s="7" t="str">
        <f t="shared" si="32"/>
        <v>min</v>
      </c>
      <c r="S247" s="36">
        <f>(IF(OR(A247="DWF",A247="DNF"),Données_Planning!I245,MOD(Données_Planning!I245,60)))</f>
        <v>0</v>
      </c>
      <c r="T247" s="28" t="str">
        <f t="shared" si="33"/>
        <v>s</v>
      </c>
      <c r="U247" s="37">
        <f>(IF(OR(A247="DWF",A247="DNF"),0,QUOTIENT(Données_Planning!K245,60)))</f>
        <v>0</v>
      </c>
      <c r="V247" s="7" t="str">
        <f t="shared" si="34"/>
        <v>min</v>
      </c>
      <c r="W247" s="36">
        <f>(IF(OR(A247="DWF",A247="DNF"),Données_Planning!K245,MOD(Données_Planning!K245,60)))</f>
        <v>0</v>
      </c>
      <c r="X247" s="38" t="str">
        <f t="shared" si="35"/>
        <v>s</v>
      </c>
      <c r="Y247" s="42"/>
    </row>
    <row r="248" spans="1:25" ht="15.75" x14ac:dyDescent="0.25">
      <c r="A248" s="4">
        <f>Données_Planning!A246</f>
        <v>0</v>
      </c>
      <c r="B248" s="6">
        <f>Données_Planning!B246</f>
        <v>0</v>
      </c>
      <c r="C248" s="28">
        <f>Données_Planning!C246</f>
        <v>0</v>
      </c>
      <c r="D248" s="50">
        <f t="shared" si="27"/>
        <v>0</v>
      </c>
      <c r="E248" s="51">
        <f t="shared" si="28"/>
        <v>0</v>
      </c>
      <c r="F248" s="52">
        <f t="shared" si="29"/>
        <v>0</v>
      </c>
      <c r="G248" s="47">
        <f>Données_Planning!L246</f>
        <v>0</v>
      </c>
      <c r="H248" s="18">
        <f>Données_Planning!H246</f>
        <v>0</v>
      </c>
      <c r="I248" s="5">
        <f>Données_Planning!D246</f>
        <v>0</v>
      </c>
      <c r="J248" s="22">
        <f>Données_Planning!F246</f>
        <v>0</v>
      </c>
      <c r="K248" s="22">
        <f>Données_Planning!E246</f>
        <v>0</v>
      </c>
      <c r="L248" s="35">
        <f>Données_Planning!G246</f>
        <v>0</v>
      </c>
      <c r="M248" s="37">
        <f>(IF(OR(A248="DWF",A248="DNF"),0,QUOTIENT(Données_Planning!J246,60)))</f>
        <v>0</v>
      </c>
      <c r="N248" s="7" t="str">
        <f t="shared" si="30"/>
        <v>min</v>
      </c>
      <c r="O248" s="36">
        <f>(IF(OR(A248="DWF",A248="DNF"),Données_Planning!J246,MOD(Données_Planning!J246,60)))</f>
        <v>0</v>
      </c>
      <c r="P248" s="28" t="str">
        <f t="shared" si="31"/>
        <v>s</v>
      </c>
      <c r="Q248" s="37">
        <f>(IF(OR(A248="DWF",A248="DNF"),0,QUOTIENT(Données_Planning!I246,60)))</f>
        <v>0</v>
      </c>
      <c r="R248" s="7" t="str">
        <f t="shared" si="32"/>
        <v>min</v>
      </c>
      <c r="S248" s="36">
        <f>(IF(OR(A248="DWF",A248="DNF"),Données_Planning!I246,MOD(Données_Planning!I246,60)))</f>
        <v>0</v>
      </c>
      <c r="T248" s="28" t="str">
        <f t="shared" si="33"/>
        <v>s</v>
      </c>
      <c r="U248" s="37">
        <f>(IF(OR(A248="DWF",A248="DNF"),0,QUOTIENT(Données_Planning!K246,60)))</f>
        <v>0</v>
      </c>
      <c r="V248" s="7" t="str">
        <f t="shared" si="34"/>
        <v>min</v>
      </c>
      <c r="W248" s="36">
        <f>(IF(OR(A248="DWF",A248="DNF"),Données_Planning!K246,MOD(Données_Planning!K246,60)))</f>
        <v>0</v>
      </c>
      <c r="X248" s="38" t="str">
        <f t="shared" si="35"/>
        <v>s</v>
      </c>
      <c r="Y248" s="42"/>
    </row>
    <row r="249" spans="1:25" ht="15.75" x14ac:dyDescent="0.25">
      <c r="A249" s="4">
        <f>Données_Planning!A247</f>
        <v>0</v>
      </c>
      <c r="B249" s="6">
        <f>Données_Planning!B247</f>
        <v>0</v>
      </c>
      <c r="C249" s="28">
        <f>Données_Planning!C247</f>
        <v>0</v>
      </c>
      <c r="D249" s="50">
        <f t="shared" si="27"/>
        <v>0</v>
      </c>
      <c r="E249" s="51">
        <f t="shared" si="28"/>
        <v>0</v>
      </c>
      <c r="F249" s="52">
        <f t="shared" si="29"/>
        <v>0</v>
      </c>
      <c r="G249" s="47">
        <f>Données_Planning!L247</f>
        <v>0</v>
      </c>
      <c r="H249" s="18">
        <f>Données_Planning!H247</f>
        <v>0</v>
      </c>
      <c r="I249" s="5">
        <f>Données_Planning!D247</f>
        <v>0</v>
      </c>
      <c r="J249" s="22">
        <f>Données_Planning!F247</f>
        <v>0</v>
      </c>
      <c r="K249" s="22">
        <f>Données_Planning!E247</f>
        <v>0</v>
      </c>
      <c r="L249" s="35">
        <f>Données_Planning!G247</f>
        <v>0</v>
      </c>
      <c r="M249" s="37">
        <f>(IF(OR(A249="DWF",A249="DNF"),0,QUOTIENT(Données_Planning!J247,60)))</f>
        <v>0</v>
      </c>
      <c r="N249" s="7" t="str">
        <f t="shared" si="30"/>
        <v>min</v>
      </c>
      <c r="O249" s="36">
        <f>(IF(OR(A249="DWF",A249="DNF"),Données_Planning!J247,MOD(Données_Planning!J247,60)))</f>
        <v>0</v>
      </c>
      <c r="P249" s="28" t="str">
        <f t="shared" si="31"/>
        <v>s</v>
      </c>
      <c r="Q249" s="37">
        <f>(IF(OR(A249="DWF",A249="DNF"),0,QUOTIENT(Données_Planning!I247,60)))</f>
        <v>0</v>
      </c>
      <c r="R249" s="7" t="str">
        <f t="shared" si="32"/>
        <v>min</v>
      </c>
      <c r="S249" s="36">
        <f>(IF(OR(A249="DWF",A249="DNF"),Données_Planning!I247,MOD(Données_Planning!I247,60)))</f>
        <v>0</v>
      </c>
      <c r="T249" s="28" t="str">
        <f t="shared" si="33"/>
        <v>s</v>
      </c>
      <c r="U249" s="37">
        <f>(IF(OR(A249="DWF",A249="DNF"),0,QUOTIENT(Données_Planning!K247,60)))</f>
        <v>0</v>
      </c>
      <c r="V249" s="7" t="str">
        <f t="shared" si="34"/>
        <v>min</v>
      </c>
      <c r="W249" s="36">
        <f>(IF(OR(A249="DWF",A249="DNF"),Données_Planning!K247,MOD(Données_Planning!K247,60)))</f>
        <v>0</v>
      </c>
      <c r="X249" s="38" t="str">
        <f t="shared" si="35"/>
        <v>s</v>
      </c>
      <c r="Y249" s="42"/>
    </row>
    <row r="250" spans="1:25" ht="15.75" x14ac:dyDescent="0.25">
      <c r="A250" s="4">
        <f>Données_Planning!A248</f>
        <v>0</v>
      </c>
      <c r="B250" s="6">
        <f>Données_Planning!B248</f>
        <v>0</v>
      </c>
      <c r="C250" s="28">
        <f>Données_Planning!C248</f>
        <v>0</v>
      </c>
      <c r="D250" s="50">
        <f t="shared" si="27"/>
        <v>0</v>
      </c>
      <c r="E250" s="51">
        <f t="shared" si="28"/>
        <v>0</v>
      </c>
      <c r="F250" s="52">
        <f t="shared" si="29"/>
        <v>0</v>
      </c>
      <c r="G250" s="47">
        <f>Données_Planning!L248</f>
        <v>0</v>
      </c>
      <c r="H250" s="18">
        <f>Données_Planning!H248</f>
        <v>0</v>
      </c>
      <c r="I250" s="5">
        <f>Données_Planning!D248</f>
        <v>0</v>
      </c>
      <c r="J250" s="22">
        <f>Données_Planning!F248</f>
        <v>0</v>
      </c>
      <c r="K250" s="22">
        <f>Données_Planning!E248</f>
        <v>0</v>
      </c>
      <c r="L250" s="35">
        <f>Données_Planning!G248</f>
        <v>0</v>
      </c>
      <c r="M250" s="37">
        <f>(IF(OR(A250="DWF",A250="DNF"),0,QUOTIENT(Données_Planning!J248,60)))</f>
        <v>0</v>
      </c>
      <c r="N250" s="7" t="str">
        <f t="shared" si="30"/>
        <v>min</v>
      </c>
      <c r="O250" s="36">
        <f>(IF(OR(A250="DWF",A250="DNF"),Données_Planning!J248,MOD(Données_Planning!J248,60)))</f>
        <v>0</v>
      </c>
      <c r="P250" s="28" t="str">
        <f t="shared" si="31"/>
        <v>s</v>
      </c>
      <c r="Q250" s="37">
        <f>(IF(OR(A250="DWF",A250="DNF"),0,QUOTIENT(Données_Planning!I248,60)))</f>
        <v>0</v>
      </c>
      <c r="R250" s="7" t="str">
        <f t="shared" si="32"/>
        <v>min</v>
      </c>
      <c r="S250" s="36">
        <f>(IF(OR(A250="DWF",A250="DNF"),Données_Planning!I248,MOD(Données_Planning!I248,60)))</f>
        <v>0</v>
      </c>
      <c r="T250" s="28" t="str">
        <f t="shared" si="33"/>
        <v>s</v>
      </c>
      <c r="U250" s="37">
        <f>(IF(OR(A250="DWF",A250="DNF"),0,QUOTIENT(Données_Planning!K248,60)))</f>
        <v>0</v>
      </c>
      <c r="V250" s="7" t="str">
        <f t="shared" si="34"/>
        <v>min</v>
      </c>
      <c r="W250" s="36">
        <f>(IF(OR(A250="DWF",A250="DNF"),Données_Planning!K248,MOD(Données_Planning!K248,60)))</f>
        <v>0</v>
      </c>
      <c r="X250" s="38" t="str">
        <f t="shared" si="35"/>
        <v>s</v>
      </c>
      <c r="Y250" s="42"/>
    </row>
    <row r="251" spans="1:25" ht="15.75" x14ac:dyDescent="0.25">
      <c r="A251" s="4">
        <f>Données_Planning!A249</f>
        <v>0</v>
      </c>
      <c r="B251" s="6">
        <f>Données_Planning!B249</f>
        <v>0</v>
      </c>
      <c r="C251" s="28">
        <f>Données_Planning!C249</f>
        <v>0</v>
      </c>
      <c r="D251" s="50">
        <f t="shared" si="27"/>
        <v>0</v>
      </c>
      <c r="E251" s="51">
        <f t="shared" si="28"/>
        <v>0</v>
      </c>
      <c r="F251" s="52">
        <f t="shared" si="29"/>
        <v>0</v>
      </c>
      <c r="G251" s="47">
        <f>Données_Planning!L249</f>
        <v>0</v>
      </c>
      <c r="H251" s="18">
        <f>Données_Planning!H249</f>
        <v>0</v>
      </c>
      <c r="I251" s="5">
        <f>Données_Planning!D249</f>
        <v>0</v>
      </c>
      <c r="J251" s="22">
        <f>Données_Planning!F249</f>
        <v>0</v>
      </c>
      <c r="K251" s="22">
        <f>Données_Planning!E249</f>
        <v>0</v>
      </c>
      <c r="L251" s="35">
        <f>Données_Planning!G249</f>
        <v>0</v>
      </c>
      <c r="M251" s="37">
        <f>(IF(OR(A251="DWF",A251="DNF"),0,QUOTIENT(Données_Planning!J249,60)))</f>
        <v>0</v>
      </c>
      <c r="N251" s="7" t="str">
        <f t="shared" si="30"/>
        <v>min</v>
      </c>
      <c r="O251" s="36">
        <f>(IF(OR(A251="DWF",A251="DNF"),Données_Planning!J249,MOD(Données_Planning!J249,60)))</f>
        <v>0</v>
      </c>
      <c r="P251" s="28" t="str">
        <f t="shared" si="31"/>
        <v>s</v>
      </c>
      <c r="Q251" s="37">
        <f>(IF(OR(A251="DWF",A251="DNF"),0,QUOTIENT(Données_Planning!I249,60)))</f>
        <v>0</v>
      </c>
      <c r="R251" s="7" t="str">
        <f t="shared" si="32"/>
        <v>min</v>
      </c>
      <c r="S251" s="36">
        <f>(IF(OR(A251="DWF",A251="DNF"),Données_Planning!I249,MOD(Données_Planning!I249,60)))</f>
        <v>0</v>
      </c>
      <c r="T251" s="28" t="str">
        <f t="shared" si="33"/>
        <v>s</v>
      </c>
      <c r="U251" s="37">
        <f>(IF(OR(A251="DWF",A251="DNF"),0,QUOTIENT(Données_Planning!K249,60)))</f>
        <v>0</v>
      </c>
      <c r="V251" s="7" t="str">
        <f t="shared" si="34"/>
        <v>min</v>
      </c>
      <c r="W251" s="36">
        <f>(IF(OR(A251="DWF",A251="DNF"),Données_Planning!K249,MOD(Données_Planning!K249,60)))</f>
        <v>0</v>
      </c>
      <c r="X251" s="38" t="str">
        <f t="shared" si="35"/>
        <v>s</v>
      </c>
      <c r="Y251" s="42"/>
    </row>
    <row r="252" spans="1:25" ht="15.75" x14ac:dyDescent="0.25">
      <c r="A252" s="4">
        <f>Données_Planning!A250</f>
        <v>0</v>
      </c>
      <c r="B252" s="6">
        <f>Données_Planning!B250</f>
        <v>0</v>
      </c>
      <c r="C252" s="28">
        <f>Données_Planning!C250</f>
        <v>0</v>
      </c>
      <c r="D252" s="50">
        <f t="shared" si="27"/>
        <v>0</v>
      </c>
      <c r="E252" s="51">
        <f t="shared" si="28"/>
        <v>0</v>
      </c>
      <c r="F252" s="52">
        <f t="shared" si="29"/>
        <v>0</v>
      </c>
      <c r="G252" s="47">
        <f>Données_Planning!L250</f>
        <v>0</v>
      </c>
      <c r="H252" s="18">
        <f>Données_Planning!H250</f>
        <v>0</v>
      </c>
      <c r="I252" s="5">
        <f>Données_Planning!D250</f>
        <v>0</v>
      </c>
      <c r="J252" s="22">
        <f>Données_Planning!F250</f>
        <v>0</v>
      </c>
      <c r="K252" s="22">
        <f>Données_Planning!E250</f>
        <v>0</v>
      </c>
      <c r="L252" s="35">
        <f>Données_Planning!G250</f>
        <v>0</v>
      </c>
      <c r="M252" s="37">
        <f>(IF(OR(A252="DWF",A252="DNF"),0,QUOTIENT(Données_Planning!J250,60)))</f>
        <v>0</v>
      </c>
      <c r="N252" s="7" t="str">
        <f t="shared" si="30"/>
        <v>min</v>
      </c>
      <c r="O252" s="36">
        <f>(IF(OR(A252="DWF",A252="DNF"),Données_Planning!J250,MOD(Données_Planning!J250,60)))</f>
        <v>0</v>
      </c>
      <c r="P252" s="28" t="str">
        <f t="shared" si="31"/>
        <v>s</v>
      </c>
      <c r="Q252" s="37">
        <f>(IF(OR(A252="DWF",A252="DNF"),0,QUOTIENT(Données_Planning!I250,60)))</f>
        <v>0</v>
      </c>
      <c r="R252" s="7" t="str">
        <f t="shared" si="32"/>
        <v>min</v>
      </c>
      <c r="S252" s="36">
        <f>(IF(OR(A252="DWF",A252="DNF"),Données_Planning!I250,MOD(Données_Planning!I250,60)))</f>
        <v>0</v>
      </c>
      <c r="T252" s="28" t="str">
        <f t="shared" si="33"/>
        <v>s</v>
      </c>
      <c r="U252" s="37">
        <f>(IF(OR(A252="DWF",A252="DNF"),0,QUOTIENT(Données_Planning!K250,60)))</f>
        <v>0</v>
      </c>
      <c r="V252" s="7" t="str">
        <f t="shared" si="34"/>
        <v>min</v>
      </c>
      <c r="W252" s="36">
        <f>(IF(OR(A252="DWF",A252="DNF"),Données_Planning!K250,MOD(Données_Planning!K250,60)))</f>
        <v>0</v>
      </c>
      <c r="X252" s="38" t="str">
        <f t="shared" si="35"/>
        <v>s</v>
      </c>
      <c r="Y252" s="42"/>
    </row>
    <row r="253" spans="1:25" ht="15.75" x14ac:dyDescent="0.25">
      <c r="A253" s="4">
        <f>Données_Planning!A251</f>
        <v>0</v>
      </c>
      <c r="B253" s="6">
        <f>Données_Planning!B251</f>
        <v>0</v>
      </c>
      <c r="C253" s="28">
        <f>Données_Planning!C251</f>
        <v>0</v>
      </c>
      <c r="D253" s="50">
        <f t="shared" si="27"/>
        <v>0</v>
      </c>
      <c r="E253" s="51">
        <f t="shared" si="28"/>
        <v>0</v>
      </c>
      <c r="F253" s="52">
        <f t="shared" si="29"/>
        <v>0</v>
      </c>
      <c r="G253" s="47">
        <f>Données_Planning!L251</f>
        <v>0</v>
      </c>
      <c r="H253" s="18">
        <f>Données_Planning!H251</f>
        <v>0</v>
      </c>
      <c r="I253" s="5">
        <f>Données_Planning!D251</f>
        <v>0</v>
      </c>
      <c r="J253" s="22">
        <f>Données_Planning!F251</f>
        <v>0</v>
      </c>
      <c r="K253" s="22">
        <f>Données_Planning!E251</f>
        <v>0</v>
      </c>
      <c r="L253" s="35">
        <f>Données_Planning!G251</f>
        <v>0</v>
      </c>
      <c r="M253" s="37">
        <f>(IF(OR(A253="DWF",A253="DNF"),0,QUOTIENT(Données_Planning!J251,60)))</f>
        <v>0</v>
      </c>
      <c r="N253" s="7" t="str">
        <f t="shared" si="30"/>
        <v>min</v>
      </c>
      <c r="O253" s="36">
        <f>(IF(OR(A253="DWF",A253="DNF"),Données_Planning!J251,MOD(Données_Planning!J251,60)))</f>
        <v>0</v>
      </c>
      <c r="P253" s="28" t="str">
        <f t="shared" si="31"/>
        <v>s</v>
      </c>
      <c r="Q253" s="37">
        <f>(IF(OR(A253="DWF",A253="DNF"),0,QUOTIENT(Données_Planning!I251,60)))</f>
        <v>0</v>
      </c>
      <c r="R253" s="7" t="str">
        <f t="shared" si="32"/>
        <v>min</v>
      </c>
      <c r="S253" s="36">
        <f>(IF(OR(A253="DWF",A253="DNF"),Données_Planning!I251,MOD(Données_Planning!I251,60)))</f>
        <v>0</v>
      </c>
      <c r="T253" s="28" t="str">
        <f t="shared" si="33"/>
        <v>s</v>
      </c>
      <c r="U253" s="37">
        <f>(IF(OR(A253="DWF",A253="DNF"),0,QUOTIENT(Données_Planning!K251,60)))</f>
        <v>0</v>
      </c>
      <c r="V253" s="7" t="str">
        <f t="shared" si="34"/>
        <v>min</v>
      </c>
      <c r="W253" s="36">
        <f>(IF(OR(A253="DWF",A253="DNF"),Données_Planning!K251,MOD(Données_Planning!K251,60)))</f>
        <v>0</v>
      </c>
      <c r="X253" s="38" t="str">
        <f t="shared" si="35"/>
        <v>s</v>
      </c>
      <c r="Y253" s="42"/>
    </row>
    <row r="254" spans="1:25" ht="15.75" x14ac:dyDescent="0.25">
      <c r="A254" s="4">
        <f>Données_Planning!A252</f>
        <v>0</v>
      </c>
      <c r="B254" s="6">
        <f>Données_Planning!B252</f>
        <v>0</v>
      </c>
      <c r="C254" s="28">
        <f>Données_Planning!C252</f>
        <v>0</v>
      </c>
      <c r="D254" s="50">
        <f t="shared" si="27"/>
        <v>0</v>
      </c>
      <c r="E254" s="51">
        <f t="shared" si="28"/>
        <v>0</v>
      </c>
      <c r="F254" s="52">
        <f t="shared" si="29"/>
        <v>0</v>
      </c>
      <c r="G254" s="47">
        <f>Données_Planning!L252</f>
        <v>0</v>
      </c>
      <c r="H254" s="18">
        <f>Données_Planning!H252</f>
        <v>0</v>
      </c>
      <c r="I254" s="5">
        <f>Données_Planning!D252</f>
        <v>0</v>
      </c>
      <c r="J254" s="22">
        <f>Données_Planning!F252</f>
        <v>0</v>
      </c>
      <c r="K254" s="22">
        <f>Données_Planning!E252</f>
        <v>0</v>
      </c>
      <c r="L254" s="35">
        <f>Données_Planning!G252</f>
        <v>0</v>
      </c>
      <c r="M254" s="37">
        <f>(IF(OR(A254="DWF",A254="DNF"),0,QUOTIENT(Données_Planning!J252,60)))</f>
        <v>0</v>
      </c>
      <c r="N254" s="7" t="str">
        <f t="shared" si="30"/>
        <v>min</v>
      </c>
      <c r="O254" s="36">
        <f>(IF(OR(A254="DWF",A254="DNF"),Données_Planning!J252,MOD(Données_Planning!J252,60)))</f>
        <v>0</v>
      </c>
      <c r="P254" s="28" t="str">
        <f t="shared" si="31"/>
        <v>s</v>
      </c>
      <c r="Q254" s="37">
        <f>(IF(OR(A254="DWF",A254="DNF"),0,QUOTIENT(Données_Planning!I252,60)))</f>
        <v>0</v>
      </c>
      <c r="R254" s="7" t="str">
        <f t="shared" si="32"/>
        <v>min</v>
      </c>
      <c r="S254" s="36">
        <f>(IF(OR(A254="DWF",A254="DNF"),Données_Planning!I252,MOD(Données_Planning!I252,60)))</f>
        <v>0</v>
      </c>
      <c r="T254" s="28" t="str">
        <f t="shared" si="33"/>
        <v>s</v>
      </c>
      <c r="U254" s="37">
        <f>(IF(OR(A254="DWF",A254="DNF"),0,QUOTIENT(Données_Planning!K252,60)))</f>
        <v>0</v>
      </c>
      <c r="V254" s="7" t="str">
        <f t="shared" si="34"/>
        <v>min</v>
      </c>
      <c r="W254" s="36">
        <f>(IF(OR(A254="DWF",A254="DNF"),Données_Planning!K252,MOD(Données_Planning!K252,60)))</f>
        <v>0</v>
      </c>
      <c r="X254" s="38" t="str">
        <f t="shared" si="35"/>
        <v>s</v>
      </c>
      <c r="Y254" s="42"/>
    </row>
    <row r="255" spans="1:25" ht="15.75" x14ac:dyDescent="0.25">
      <c r="A255" s="4">
        <f>Données_Planning!A253</f>
        <v>0</v>
      </c>
      <c r="B255" s="6">
        <f>Données_Planning!B253</f>
        <v>0</v>
      </c>
      <c r="C255" s="28">
        <f>Données_Planning!C253</f>
        <v>0</v>
      </c>
      <c r="D255" s="50">
        <f t="shared" si="27"/>
        <v>0</v>
      </c>
      <c r="E255" s="51">
        <f t="shared" si="28"/>
        <v>0</v>
      </c>
      <c r="F255" s="52">
        <f t="shared" si="29"/>
        <v>0</v>
      </c>
      <c r="G255" s="47">
        <f>Données_Planning!L253</f>
        <v>0</v>
      </c>
      <c r="H255" s="18">
        <f>Données_Planning!H253</f>
        <v>0</v>
      </c>
      <c r="I255" s="5">
        <f>Données_Planning!D253</f>
        <v>0</v>
      </c>
      <c r="J255" s="22">
        <f>Données_Planning!F253</f>
        <v>0</v>
      </c>
      <c r="K255" s="22">
        <f>Données_Planning!E253</f>
        <v>0</v>
      </c>
      <c r="L255" s="35">
        <f>Données_Planning!G253</f>
        <v>0</v>
      </c>
      <c r="M255" s="37">
        <f>(IF(OR(A255="DWF",A255="DNF"),0,QUOTIENT(Données_Planning!J253,60)))</f>
        <v>0</v>
      </c>
      <c r="N255" s="7" t="str">
        <f t="shared" si="30"/>
        <v>min</v>
      </c>
      <c r="O255" s="36">
        <f>(IF(OR(A255="DWF",A255="DNF"),Données_Planning!J253,MOD(Données_Planning!J253,60)))</f>
        <v>0</v>
      </c>
      <c r="P255" s="28" t="str">
        <f t="shared" si="31"/>
        <v>s</v>
      </c>
      <c r="Q255" s="37">
        <f>(IF(OR(A255="DWF",A255="DNF"),0,QUOTIENT(Données_Planning!I253,60)))</f>
        <v>0</v>
      </c>
      <c r="R255" s="7" t="str">
        <f t="shared" si="32"/>
        <v>min</v>
      </c>
      <c r="S255" s="36">
        <f>(IF(OR(A255="DWF",A255="DNF"),Données_Planning!I253,MOD(Données_Planning!I253,60)))</f>
        <v>0</v>
      </c>
      <c r="T255" s="28" t="str">
        <f t="shared" si="33"/>
        <v>s</v>
      </c>
      <c r="U255" s="37">
        <f>(IF(OR(A255="DWF",A255="DNF"),0,QUOTIENT(Données_Planning!K253,60)))</f>
        <v>0</v>
      </c>
      <c r="V255" s="7" t="str">
        <f t="shared" si="34"/>
        <v>min</v>
      </c>
      <c r="W255" s="36">
        <f>(IF(OR(A255="DWF",A255="DNF"),Données_Planning!K253,MOD(Données_Planning!K253,60)))</f>
        <v>0</v>
      </c>
      <c r="X255" s="38" t="str">
        <f t="shared" si="35"/>
        <v>s</v>
      </c>
      <c r="Y255" s="42"/>
    </row>
    <row r="256" spans="1:25" ht="15.75" x14ac:dyDescent="0.25">
      <c r="A256" s="4">
        <f>Données_Planning!A254</f>
        <v>0</v>
      </c>
      <c r="B256" s="6">
        <f>Données_Planning!B254</f>
        <v>0</v>
      </c>
      <c r="C256" s="28">
        <f>Données_Planning!C254</f>
        <v>0</v>
      </c>
      <c r="D256" s="50">
        <f t="shared" si="27"/>
        <v>0</v>
      </c>
      <c r="E256" s="51">
        <f t="shared" si="28"/>
        <v>0</v>
      </c>
      <c r="F256" s="52">
        <f t="shared" si="29"/>
        <v>0</v>
      </c>
      <c r="G256" s="47">
        <f>Données_Planning!L254</f>
        <v>0</v>
      </c>
      <c r="H256" s="18">
        <f>Données_Planning!H254</f>
        <v>0</v>
      </c>
      <c r="I256" s="5">
        <f>Données_Planning!D254</f>
        <v>0</v>
      </c>
      <c r="J256" s="22">
        <f>Données_Planning!F254</f>
        <v>0</v>
      </c>
      <c r="K256" s="22">
        <f>Données_Planning!E254</f>
        <v>0</v>
      </c>
      <c r="L256" s="35">
        <f>Données_Planning!G254</f>
        <v>0</v>
      </c>
      <c r="M256" s="37">
        <f>(IF(OR(A256="DWF",A256="DNF"),0,QUOTIENT(Données_Planning!J254,60)))</f>
        <v>0</v>
      </c>
      <c r="N256" s="7" t="str">
        <f t="shared" si="30"/>
        <v>min</v>
      </c>
      <c r="O256" s="36">
        <f>(IF(OR(A256="DWF",A256="DNF"),Données_Planning!J254,MOD(Données_Planning!J254,60)))</f>
        <v>0</v>
      </c>
      <c r="P256" s="28" t="str">
        <f t="shared" si="31"/>
        <v>s</v>
      </c>
      <c r="Q256" s="37">
        <f>(IF(OR(A256="DWF",A256="DNF"),0,QUOTIENT(Données_Planning!I254,60)))</f>
        <v>0</v>
      </c>
      <c r="R256" s="7" t="str">
        <f t="shared" si="32"/>
        <v>min</v>
      </c>
      <c r="S256" s="36">
        <f>(IF(OR(A256="DWF",A256="DNF"),Données_Planning!I254,MOD(Données_Planning!I254,60)))</f>
        <v>0</v>
      </c>
      <c r="T256" s="28" t="str">
        <f t="shared" si="33"/>
        <v>s</v>
      </c>
      <c r="U256" s="37">
        <f>(IF(OR(A256="DWF",A256="DNF"),0,QUOTIENT(Données_Planning!K254,60)))</f>
        <v>0</v>
      </c>
      <c r="V256" s="7" t="str">
        <f t="shared" si="34"/>
        <v>min</v>
      </c>
      <c r="W256" s="36">
        <f>(IF(OR(A256="DWF",A256="DNF"),Données_Planning!K254,MOD(Données_Planning!K254,60)))</f>
        <v>0</v>
      </c>
      <c r="X256" s="38" t="str">
        <f t="shared" si="35"/>
        <v>s</v>
      </c>
      <c r="Y256" s="42"/>
    </row>
    <row r="257" spans="1:25" ht="15.75" x14ac:dyDescent="0.25">
      <c r="A257" s="4">
        <f>Données_Planning!A255</f>
        <v>0</v>
      </c>
      <c r="B257" s="6">
        <f>Données_Planning!B255</f>
        <v>0</v>
      </c>
      <c r="C257" s="28">
        <f>Données_Planning!C255</f>
        <v>0</v>
      </c>
      <c r="D257" s="50">
        <f t="shared" si="27"/>
        <v>0</v>
      </c>
      <c r="E257" s="51">
        <f t="shared" si="28"/>
        <v>0</v>
      </c>
      <c r="F257" s="52">
        <f t="shared" si="29"/>
        <v>0</v>
      </c>
      <c r="G257" s="47">
        <f>Données_Planning!L255</f>
        <v>0</v>
      </c>
      <c r="H257" s="18">
        <f>Données_Planning!H255</f>
        <v>0</v>
      </c>
      <c r="I257" s="5">
        <f>Données_Planning!D255</f>
        <v>0</v>
      </c>
      <c r="J257" s="22">
        <f>Données_Planning!F255</f>
        <v>0</v>
      </c>
      <c r="K257" s="22">
        <f>Données_Planning!E255</f>
        <v>0</v>
      </c>
      <c r="L257" s="35">
        <f>Données_Planning!G255</f>
        <v>0</v>
      </c>
      <c r="M257" s="37">
        <f>(IF(OR(A257="DWF",A257="DNF"),0,QUOTIENT(Données_Planning!J255,60)))</f>
        <v>0</v>
      </c>
      <c r="N257" s="7" t="str">
        <f t="shared" si="30"/>
        <v>min</v>
      </c>
      <c r="O257" s="36">
        <f>(IF(OR(A257="DWF",A257="DNF"),Données_Planning!J255,MOD(Données_Planning!J255,60)))</f>
        <v>0</v>
      </c>
      <c r="P257" s="28" t="str">
        <f t="shared" si="31"/>
        <v>s</v>
      </c>
      <c r="Q257" s="37">
        <f>(IF(OR(A257="DWF",A257="DNF"),0,QUOTIENT(Données_Planning!I255,60)))</f>
        <v>0</v>
      </c>
      <c r="R257" s="7" t="str">
        <f t="shared" si="32"/>
        <v>min</v>
      </c>
      <c r="S257" s="36">
        <f>(IF(OR(A257="DWF",A257="DNF"),Données_Planning!I255,MOD(Données_Planning!I255,60)))</f>
        <v>0</v>
      </c>
      <c r="T257" s="28" t="str">
        <f t="shared" si="33"/>
        <v>s</v>
      </c>
      <c r="U257" s="37">
        <f>(IF(OR(A257="DWF",A257="DNF"),0,QUOTIENT(Données_Planning!K255,60)))</f>
        <v>0</v>
      </c>
      <c r="V257" s="7" t="str">
        <f t="shared" si="34"/>
        <v>min</v>
      </c>
      <c r="W257" s="36">
        <f>(IF(OR(A257="DWF",A257="DNF"),Données_Planning!K255,MOD(Données_Planning!K255,60)))</f>
        <v>0</v>
      </c>
      <c r="X257" s="38" t="str">
        <f t="shared" si="35"/>
        <v>s</v>
      </c>
      <c r="Y257" s="42"/>
    </row>
    <row r="258" spans="1:25" ht="15.75" x14ac:dyDescent="0.25">
      <c r="A258" s="4">
        <f>Données_Planning!A256</f>
        <v>0</v>
      </c>
      <c r="B258" s="6">
        <f>Données_Planning!B256</f>
        <v>0</v>
      </c>
      <c r="C258" s="28">
        <f>Données_Planning!C256</f>
        <v>0</v>
      </c>
      <c r="D258" s="50">
        <f t="shared" si="27"/>
        <v>0</v>
      </c>
      <c r="E258" s="51">
        <f t="shared" si="28"/>
        <v>0</v>
      </c>
      <c r="F258" s="52">
        <f t="shared" si="29"/>
        <v>0</v>
      </c>
      <c r="G258" s="47">
        <f>Données_Planning!L256</f>
        <v>0</v>
      </c>
      <c r="H258" s="18">
        <f>Données_Planning!H256</f>
        <v>0</v>
      </c>
      <c r="I258" s="5">
        <f>Données_Planning!D256</f>
        <v>0</v>
      </c>
      <c r="J258" s="22">
        <f>Données_Planning!F256</f>
        <v>0</v>
      </c>
      <c r="K258" s="22">
        <f>Données_Planning!E256</f>
        <v>0</v>
      </c>
      <c r="L258" s="35">
        <f>Données_Planning!G256</f>
        <v>0</v>
      </c>
      <c r="M258" s="37">
        <f>(IF(OR(A258="DWF",A258="DNF"),0,QUOTIENT(Données_Planning!J256,60)))</f>
        <v>0</v>
      </c>
      <c r="N258" s="7" t="str">
        <f t="shared" si="30"/>
        <v>min</v>
      </c>
      <c r="O258" s="36">
        <f>(IF(OR(A258="DWF",A258="DNF"),Données_Planning!J256,MOD(Données_Planning!J256,60)))</f>
        <v>0</v>
      </c>
      <c r="P258" s="28" t="str">
        <f t="shared" si="31"/>
        <v>s</v>
      </c>
      <c r="Q258" s="37">
        <f>(IF(OR(A258="DWF",A258="DNF"),0,QUOTIENT(Données_Planning!I256,60)))</f>
        <v>0</v>
      </c>
      <c r="R258" s="7" t="str">
        <f t="shared" si="32"/>
        <v>min</v>
      </c>
      <c r="S258" s="36">
        <f>(IF(OR(A258="DWF",A258="DNF"),Données_Planning!I256,MOD(Données_Planning!I256,60)))</f>
        <v>0</v>
      </c>
      <c r="T258" s="28" t="str">
        <f t="shared" si="33"/>
        <v>s</v>
      </c>
      <c r="U258" s="37">
        <f>(IF(OR(A258="DWF",A258="DNF"),0,QUOTIENT(Données_Planning!K256,60)))</f>
        <v>0</v>
      </c>
      <c r="V258" s="7" t="str">
        <f t="shared" si="34"/>
        <v>min</v>
      </c>
      <c r="W258" s="36">
        <f>(IF(OR(A258="DWF",A258="DNF"),Données_Planning!K256,MOD(Données_Planning!K256,60)))</f>
        <v>0</v>
      </c>
      <c r="X258" s="38" t="str">
        <f t="shared" si="35"/>
        <v>s</v>
      </c>
      <c r="Y258" s="42"/>
    </row>
    <row r="259" spans="1:25" ht="15.75" x14ac:dyDescent="0.25">
      <c r="A259" s="4">
        <f>Données_Planning!A257</f>
        <v>0</v>
      </c>
      <c r="B259" s="6">
        <f>Données_Planning!B257</f>
        <v>0</v>
      </c>
      <c r="C259" s="28">
        <f>Données_Planning!C257</f>
        <v>0</v>
      </c>
      <c r="D259" s="50">
        <f t="shared" si="27"/>
        <v>0</v>
      </c>
      <c r="E259" s="51">
        <f t="shared" si="28"/>
        <v>0</v>
      </c>
      <c r="F259" s="52">
        <f t="shared" si="29"/>
        <v>0</v>
      </c>
      <c r="G259" s="47">
        <f>Données_Planning!L257</f>
        <v>0</v>
      </c>
      <c r="H259" s="18">
        <f>Données_Planning!H257</f>
        <v>0</v>
      </c>
      <c r="I259" s="5">
        <f>Données_Planning!D257</f>
        <v>0</v>
      </c>
      <c r="J259" s="22">
        <f>Données_Planning!F257</f>
        <v>0</v>
      </c>
      <c r="K259" s="22">
        <f>Données_Planning!E257</f>
        <v>0</v>
      </c>
      <c r="L259" s="35">
        <f>Données_Planning!G257</f>
        <v>0</v>
      </c>
      <c r="M259" s="37">
        <f>(IF(OR(A259="DWF",A259="DNF"),0,QUOTIENT(Données_Planning!J257,60)))</f>
        <v>0</v>
      </c>
      <c r="N259" s="7" t="str">
        <f t="shared" si="30"/>
        <v>min</v>
      </c>
      <c r="O259" s="36">
        <f>(IF(OR(A259="DWF",A259="DNF"),Données_Planning!J257,MOD(Données_Planning!J257,60)))</f>
        <v>0</v>
      </c>
      <c r="P259" s="28" t="str">
        <f t="shared" si="31"/>
        <v>s</v>
      </c>
      <c r="Q259" s="37">
        <f>(IF(OR(A259="DWF",A259="DNF"),0,QUOTIENT(Données_Planning!I257,60)))</f>
        <v>0</v>
      </c>
      <c r="R259" s="7" t="str">
        <f t="shared" si="32"/>
        <v>min</v>
      </c>
      <c r="S259" s="36">
        <f>(IF(OR(A259="DWF",A259="DNF"),Données_Planning!I257,MOD(Données_Planning!I257,60)))</f>
        <v>0</v>
      </c>
      <c r="T259" s="28" t="str">
        <f t="shared" si="33"/>
        <v>s</v>
      </c>
      <c r="U259" s="37">
        <f>(IF(OR(A259="DWF",A259="DNF"),0,QUOTIENT(Données_Planning!K257,60)))</f>
        <v>0</v>
      </c>
      <c r="V259" s="7" t="str">
        <f t="shared" si="34"/>
        <v>min</v>
      </c>
      <c r="W259" s="36">
        <f>(IF(OR(A259="DWF",A259="DNF"),Données_Planning!K257,MOD(Données_Planning!K257,60)))</f>
        <v>0</v>
      </c>
      <c r="X259" s="38" t="str">
        <f t="shared" si="35"/>
        <v>s</v>
      </c>
      <c r="Y259" s="42"/>
    </row>
    <row r="260" spans="1:25" ht="15.75" x14ac:dyDescent="0.25">
      <c r="A260" s="4">
        <f>Données_Planning!A258</f>
        <v>0</v>
      </c>
      <c r="B260" s="6">
        <f>Données_Planning!B258</f>
        <v>0</v>
      </c>
      <c r="C260" s="28">
        <f>Données_Planning!C258</f>
        <v>0</v>
      </c>
      <c r="D260" s="50">
        <f t="shared" si="27"/>
        <v>0</v>
      </c>
      <c r="E260" s="51">
        <f t="shared" si="28"/>
        <v>0</v>
      </c>
      <c r="F260" s="52">
        <f t="shared" si="29"/>
        <v>0</v>
      </c>
      <c r="G260" s="47">
        <f>Données_Planning!L258</f>
        <v>0</v>
      </c>
      <c r="H260" s="18">
        <f>Données_Planning!H258</f>
        <v>0</v>
      </c>
      <c r="I260" s="5">
        <f>Données_Planning!D258</f>
        <v>0</v>
      </c>
      <c r="J260" s="22">
        <f>Données_Planning!F258</f>
        <v>0</v>
      </c>
      <c r="K260" s="22">
        <f>Données_Planning!E258</f>
        <v>0</v>
      </c>
      <c r="L260" s="35">
        <f>Données_Planning!G258</f>
        <v>0</v>
      </c>
      <c r="M260" s="37">
        <f>(IF(OR(A260="DWF",A260="DNF"),0,QUOTIENT(Données_Planning!J258,60)))</f>
        <v>0</v>
      </c>
      <c r="N260" s="7" t="str">
        <f t="shared" si="30"/>
        <v>min</v>
      </c>
      <c r="O260" s="36">
        <f>(IF(OR(A260="DWF",A260="DNF"),Données_Planning!J258,MOD(Données_Planning!J258,60)))</f>
        <v>0</v>
      </c>
      <c r="P260" s="28" t="str">
        <f t="shared" si="31"/>
        <v>s</v>
      </c>
      <c r="Q260" s="37">
        <f>(IF(OR(A260="DWF",A260="DNF"),0,QUOTIENT(Données_Planning!I258,60)))</f>
        <v>0</v>
      </c>
      <c r="R260" s="7" t="str">
        <f t="shared" si="32"/>
        <v>min</v>
      </c>
      <c r="S260" s="36">
        <f>(IF(OR(A260="DWF",A260="DNF"),Données_Planning!I258,MOD(Données_Planning!I258,60)))</f>
        <v>0</v>
      </c>
      <c r="T260" s="28" t="str">
        <f t="shared" si="33"/>
        <v>s</v>
      </c>
      <c r="U260" s="37">
        <f>(IF(OR(A260="DWF",A260="DNF"),0,QUOTIENT(Données_Planning!K258,60)))</f>
        <v>0</v>
      </c>
      <c r="V260" s="7" t="str">
        <f t="shared" si="34"/>
        <v>min</v>
      </c>
      <c r="W260" s="36">
        <f>(IF(OR(A260="DWF",A260="DNF"),Données_Planning!K258,MOD(Données_Planning!K258,60)))</f>
        <v>0</v>
      </c>
      <c r="X260" s="38" t="str">
        <f t="shared" si="35"/>
        <v>s</v>
      </c>
      <c r="Y260" s="42"/>
    </row>
    <row r="261" spans="1:25" ht="15.75" x14ac:dyDescent="0.25">
      <c r="A261" s="4">
        <f>Données_Planning!A259</f>
        <v>0</v>
      </c>
      <c r="B261" s="6">
        <f>Données_Planning!B259</f>
        <v>0</v>
      </c>
      <c r="C261" s="28">
        <f>Données_Planning!C259</f>
        <v>0</v>
      </c>
      <c r="D261" s="50">
        <f t="shared" ref="D261:D324" si="36">IF(G261 -TIME(0,$D$3,0)&gt;0, G261 -TIME(0,$D$3,0), 0)</f>
        <v>0</v>
      </c>
      <c r="E261" s="51">
        <f t="shared" ref="E261:E324" si="37">IF(G261 -TIME(0,$E$3,0)&gt;0, G261 -TIME(0,$E$3,0), 0)</f>
        <v>0</v>
      </c>
      <c r="F261" s="52">
        <f t="shared" ref="F261:F324" si="38">IF(G261 -TIME(0,$F$3,0)&gt;0, G261 -TIME(0,$F$3,0), 0)</f>
        <v>0</v>
      </c>
      <c r="G261" s="47">
        <f>Données_Planning!L259</f>
        <v>0</v>
      </c>
      <c r="H261" s="18">
        <f>Données_Planning!H259</f>
        <v>0</v>
      </c>
      <c r="I261" s="5">
        <f>Données_Planning!D259</f>
        <v>0</v>
      </c>
      <c r="J261" s="22">
        <f>Données_Planning!F259</f>
        <v>0</v>
      </c>
      <c r="K261" s="22">
        <f>Données_Planning!E259</f>
        <v>0</v>
      </c>
      <c r="L261" s="35">
        <f>Données_Planning!G259</f>
        <v>0</v>
      </c>
      <c r="M261" s="37">
        <f>(IF(OR(A261="DWF",A261="DNF"),0,QUOTIENT(Données_Planning!J259,60)))</f>
        <v>0</v>
      </c>
      <c r="N261" s="7" t="str">
        <f t="shared" ref="N261:N324" si="39">(IF(OR(A261="DWF",A261="DNF"),0,"min"))</f>
        <v>min</v>
      </c>
      <c r="O261" s="36">
        <f>(IF(OR(A261="DWF",A261="DNF"),Données_Planning!J259,MOD(Données_Planning!J259,60)))</f>
        <v>0</v>
      </c>
      <c r="P261" s="28" t="str">
        <f t="shared" ref="P261:P324" si="40">(IF(OR(A261="DWF",A261="DNF"),"m","s"))</f>
        <v>s</v>
      </c>
      <c r="Q261" s="37">
        <f>(IF(OR(A261="DWF",A261="DNF"),0,QUOTIENT(Données_Planning!I259,60)))</f>
        <v>0</v>
      </c>
      <c r="R261" s="7" t="str">
        <f t="shared" ref="R261:R324" si="41">(IF(OR(A261="DWF",A261="DNF"),0,"min"))</f>
        <v>min</v>
      </c>
      <c r="S261" s="36">
        <f>(IF(OR(A261="DWF",A261="DNF"),Données_Planning!I259,MOD(Données_Planning!I259,60)))</f>
        <v>0</v>
      </c>
      <c r="T261" s="28" t="str">
        <f t="shared" ref="T261:T324" si="42">(IF(OR(A261="DWF",A261="DNF"),"m","s"))</f>
        <v>s</v>
      </c>
      <c r="U261" s="37">
        <f>(IF(OR(A261="DWF",A261="DNF"),0,QUOTIENT(Données_Planning!K259,60)))</f>
        <v>0</v>
      </c>
      <c r="V261" s="7" t="str">
        <f t="shared" ref="V261:V324" si="43">(IF(OR(A261="DWF",A261="DNF"),0,"min"))</f>
        <v>min</v>
      </c>
      <c r="W261" s="36">
        <f>(IF(OR(A261="DWF",A261="DNF"),Données_Planning!K259,MOD(Données_Planning!K259,60)))</f>
        <v>0</v>
      </c>
      <c r="X261" s="38" t="str">
        <f t="shared" ref="X261:X324" si="44">(IF(OR(A261="DWF",A261="DNF"),"m","s"))</f>
        <v>s</v>
      </c>
      <c r="Y261" s="42"/>
    </row>
    <row r="262" spans="1:25" ht="15.75" x14ac:dyDescent="0.25">
      <c r="A262" s="4">
        <f>Données_Planning!A260</f>
        <v>0</v>
      </c>
      <c r="B262" s="6">
        <f>Données_Planning!B260</f>
        <v>0</v>
      </c>
      <c r="C262" s="28">
        <f>Données_Planning!C260</f>
        <v>0</v>
      </c>
      <c r="D262" s="50">
        <f t="shared" si="36"/>
        <v>0</v>
      </c>
      <c r="E262" s="51">
        <f t="shared" si="37"/>
        <v>0</v>
      </c>
      <c r="F262" s="52">
        <f t="shared" si="38"/>
        <v>0</v>
      </c>
      <c r="G262" s="47">
        <f>Données_Planning!L260</f>
        <v>0</v>
      </c>
      <c r="H262" s="18">
        <f>Données_Planning!H260</f>
        <v>0</v>
      </c>
      <c r="I262" s="5">
        <f>Données_Planning!D260</f>
        <v>0</v>
      </c>
      <c r="J262" s="22">
        <f>Données_Planning!F260</f>
        <v>0</v>
      </c>
      <c r="K262" s="22">
        <f>Données_Planning!E260</f>
        <v>0</v>
      </c>
      <c r="L262" s="35">
        <f>Données_Planning!G260</f>
        <v>0</v>
      </c>
      <c r="M262" s="37">
        <f>(IF(OR(A262="DWF",A262="DNF"),0,QUOTIENT(Données_Planning!J260,60)))</f>
        <v>0</v>
      </c>
      <c r="N262" s="7" t="str">
        <f t="shared" si="39"/>
        <v>min</v>
      </c>
      <c r="O262" s="36">
        <f>(IF(OR(A262="DWF",A262="DNF"),Données_Planning!J260,MOD(Données_Planning!J260,60)))</f>
        <v>0</v>
      </c>
      <c r="P262" s="28" t="str">
        <f t="shared" si="40"/>
        <v>s</v>
      </c>
      <c r="Q262" s="37">
        <f>(IF(OR(A262="DWF",A262="DNF"),0,QUOTIENT(Données_Planning!I260,60)))</f>
        <v>0</v>
      </c>
      <c r="R262" s="7" t="str">
        <f t="shared" si="41"/>
        <v>min</v>
      </c>
      <c r="S262" s="36">
        <f>(IF(OR(A262="DWF",A262="DNF"),Données_Planning!I260,MOD(Données_Planning!I260,60)))</f>
        <v>0</v>
      </c>
      <c r="T262" s="28" t="str">
        <f t="shared" si="42"/>
        <v>s</v>
      </c>
      <c r="U262" s="37">
        <f>(IF(OR(A262="DWF",A262="DNF"),0,QUOTIENT(Données_Planning!K260,60)))</f>
        <v>0</v>
      </c>
      <c r="V262" s="7" t="str">
        <f t="shared" si="43"/>
        <v>min</v>
      </c>
      <c r="W262" s="36">
        <f>(IF(OR(A262="DWF",A262="DNF"),Données_Planning!K260,MOD(Données_Planning!K260,60)))</f>
        <v>0</v>
      </c>
      <c r="X262" s="38" t="str">
        <f t="shared" si="44"/>
        <v>s</v>
      </c>
      <c r="Y262" s="42"/>
    </row>
    <row r="263" spans="1:25" ht="15.75" x14ac:dyDescent="0.25">
      <c r="A263" s="4">
        <f>Données_Planning!A261</f>
        <v>0</v>
      </c>
      <c r="B263" s="6">
        <f>Données_Planning!B261</f>
        <v>0</v>
      </c>
      <c r="C263" s="28">
        <f>Données_Planning!C261</f>
        <v>0</v>
      </c>
      <c r="D263" s="50">
        <f t="shared" si="36"/>
        <v>0</v>
      </c>
      <c r="E263" s="51">
        <f t="shared" si="37"/>
        <v>0</v>
      </c>
      <c r="F263" s="52">
        <f t="shared" si="38"/>
        <v>0</v>
      </c>
      <c r="G263" s="47">
        <f>Données_Planning!L261</f>
        <v>0</v>
      </c>
      <c r="H263" s="18">
        <f>Données_Planning!H261</f>
        <v>0</v>
      </c>
      <c r="I263" s="5">
        <f>Données_Planning!D261</f>
        <v>0</v>
      </c>
      <c r="J263" s="22">
        <f>Données_Planning!F261</f>
        <v>0</v>
      </c>
      <c r="K263" s="22">
        <f>Données_Planning!E261</f>
        <v>0</v>
      </c>
      <c r="L263" s="35">
        <f>Données_Planning!G261</f>
        <v>0</v>
      </c>
      <c r="M263" s="37">
        <f>(IF(OR(A263="DWF",A263="DNF"),0,QUOTIENT(Données_Planning!J261,60)))</f>
        <v>0</v>
      </c>
      <c r="N263" s="7" t="str">
        <f t="shared" si="39"/>
        <v>min</v>
      </c>
      <c r="O263" s="36">
        <f>(IF(OR(A263="DWF",A263="DNF"),Données_Planning!J261,MOD(Données_Planning!J261,60)))</f>
        <v>0</v>
      </c>
      <c r="P263" s="28" t="str">
        <f t="shared" si="40"/>
        <v>s</v>
      </c>
      <c r="Q263" s="37">
        <f>(IF(OR(A263="DWF",A263="DNF"),0,QUOTIENT(Données_Planning!I261,60)))</f>
        <v>0</v>
      </c>
      <c r="R263" s="7" t="str">
        <f t="shared" si="41"/>
        <v>min</v>
      </c>
      <c r="S263" s="36">
        <f>(IF(OR(A263="DWF",A263="DNF"),Données_Planning!I261,MOD(Données_Planning!I261,60)))</f>
        <v>0</v>
      </c>
      <c r="T263" s="28" t="str">
        <f t="shared" si="42"/>
        <v>s</v>
      </c>
      <c r="U263" s="37">
        <f>(IF(OR(A263="DWF",A263="DNF"),0,QUOTIENT(Données_Planning!K261,60)))</f>
        <v>0</v>
      </c>
      <c r="V263" s="7" t="str">
        <f t="shared" si="43"/>
        <v>min</v>
      </c>
      <c r="W263" s="36">
        <f>(IF(OR(A263="DWF",A263="DNF"),Données_Planning!K261,MOD(Données_Planning!K261,60)))</f>
        <v>0</v>
      </c>
      <c r="X263" s="38" t="str">
        <f t="shared" si="44"/>
        <v>s</v>
      </c>
      <c r="Y263" s="42"/>
    </row>
    <row r="264" spans="1:25" ht="15.75" x14ac:dyDescent="0.25">
      <c r="A264" s="4">
        <f>Données_Planning!A262</f>
        <v>0</v>
      </c>
      <c r="B264" s="6">
        <f>Données_Planning!B262</f>
        <v>0</v>
      </c>
      <c r="C264" s="28">
        <f>Données_Planning!C262</f>
        <v>0</v>
      </c>
      <c r="D264" s="50">
        <f t="shared" si="36"/>
        <v>0</v>
      </c>
      <c r="E264" s="51">
        <f t="shared" si="37"/>
        <v>0</v>
      </c>
      <c r="F264" s="52">
        <f t="shared" si="38"/>
        <v>0</v>
      </c>
      <c r="G264" s="47">
        <f>Données_Planning!L262</f>
        <v>0</v>
      </c>
      <c r="H264" s="18">
        <f>Données_Planning!H262</f>
        <v>0</v>
      </c>
      <c r="I264" s="5">
        <f>Données_Planning!D262</f>
        <v>0</v>
      </c>
      <c r="J264" s="22">
        <f>Données_Planning!F262</f>
        <v>0</v>
      </c>
      <c r="K264" s="22">
        <f>Données_Planning!E262</f>
        <v>0</v>
      </c>
      <c r="L264" s="35">
        <f>Données_Planning!G262</f>
        <v>0</v>
      </c>
      <c r="M264" s="37">
        <f>(IF(OR(A264="DWF",A264="DNF"),0,QUOTIENT(Données_Planning!J262,60)))</f>
        <v>0</v>
      </c>
      <c r="N264" s="7" t="str">
        <f t="shared" si="39"/>
        <v>min</v>
      </c>
      <c r="O264" s="36">
        <f>(IF(OR(A264="DWF",A264="DNF"),Données_Planning!J262,MOD(Données_Planning!J262,60)))</f>
        <v>0</v>
      </c>
      <c r="P264" s="28" t="str">
        <f t="shared" si="40"/>
        <v>s</v>
      </c>
      <c r="Q264" s="37">
        <f>(IF(OR(A264="DWF",A264="DNF"),0,QUOTIENT(Données_Planning!I262,60)))</f>
        <v>0</v>
      </c>
      <c r="R264" s="7" t="str">
        <f t="shared" si="41"/>
        <v>min</v>
      </c>
      <c r="S264" s="36">
        <f>(IF(OR(A264="DWF",A264="DNF"),Données_Planning!I262,MOD(Données_Planning!I262,60)))</f>
        <v>0</v>
      </c>
      <c r="T264" s="28" t="str">
        <f t="shared" si="42"/>
        <v>s</v>
      </c>
      <c r="U264" s="37">
        <f>(IF(OR(A264="DWF",A264="DNF"),0,QUOTIENT(Données_Planning!K262,60)))</f>
        <v>0</v>
      </c>
      <c r="V264" s="7" t="str">
        <f t="shared" si="43"/>
        <v>min</v>
      </c>
      <c r="W264" s="36">
        <f>(IF(OR(A264="DWF",A264="DNF"),Données_Planning!K262,MOD(Données_Planning!K262,60)))</f>
        <v>0</v>
      </c>
      <c r="X264" s="38" t="str">
        <f t="shared" si="44"/>
        <v>s</v>
      </c>
      <c r="Y264" s="42"/>
    </row>
    <row r="265" spans="1:25" ht="15.75" x14ac:dyDescent="0.25">
      <c r="A265" s="4">
        <f>Données_Planning!A263</f>
        <v>0</v>
      </c>
      <c r="B265" s="6">
        <f>Données_Planning!B263</f>
        <v>0</v>
      </c>
      <c r="C265" s="28">
        <f>Données_Planning!C263</f>
        <v>0</v>
      </c>
      <c r="D265" s="50">
        <f t="shared" si="36"/>
        <v>0</v>
      </c>
      <c r="E265" s="51">
        <f t="shared" si="37"/>
        <v>0</v>
      </c>
      <c r="F265" s="52">
        <f t="shared" si="38"/>
        <v>0</v>
      </c>
      <c r="G265" s="47">
        <f>Données_Planning!L263</f>
        <v>0</v>
      </c>
      <c r="H265" s="18">
        <f>Données_Planning!H263</f>
        <v>0</v>
      </c>
      <c r="I265" s="5">
        <f>Données_Planning!D263</f>
        <v>0</v>
      </c>
      <c r="J265" s="22">
        <f>Données_Planning!F263</f>
        <v>0</v>
      </c>
      <c r="K265" s="22">
        <f>Données_Planning!E263</f>
        <v>0</v>
      </c>
      <c r="L265" s="35">
        <f>Données_Planning!G263</f>
        <v>0</v>
      </c>
      <c r="M265" s="37">
        <f>(IF(OR(A265="DWF",A265="DNF"),0,QUOTIENT(Données_Planning!J263,60)))</f>
        <v>0</v>
      </c>
      <c r="N265" s="7" t="str">
        <f t="shared" si="39"/>
        <v>min</v>
      </c>
      <c r="O265" s="36">
        <f>(IF(OR(A265="DWF",A265="DNF"),Données_Planning!J263,MOD(Données_Planning!J263,60)))</f>
        <v>0</v>
      </c>
      <c r="P265" s="28" t="str">
        <f t="shared" si="40"/>
        <v>s</v>
      </c>
      <c r="Q265" s="37">
        <f>(IF(OR(A265="DWF",A265="DNF"),0,QUOTIENT(Données_Planning!I263,60)))</f>
        <v>0</v>
      </c>
      <c r="R265" s="7" t="str">
        <f t="shared" si="41"/>
        <v>min</v>
      </c>
      <c r="S265" s="36">
        <f>(IF(OR(A265="DWF",A265="DNF"),Données_Planning!I263,MOD(Données_Planning!I263,60)))</f>
        <v>0</v>
      </c>
      <c r="T265" s="28" t="str">
        <f t="shared" si="42"/>
        <v>s</v>
      </c>
      <c r="U265" s="37">
        <f>(IF(OR(A265="DWF",A265="DNF"),0,QUOTIENT(Données_Planning!K263,60)))</f>
        <v>0</v>
      </c>
      <c r="V265" s="7" t="str">
        <f t="shared" si="43"/>
        <v>min</v>
      </c>
      <c r="W265" s="36">
        <f>(IF(OR(A265="DWF",A265="DNF"),Données_Planning!K263,MOD(Données_Planning!K263,60)))</f>
        <v>0</v>
      </c>
      <c r="X265" s="38" t="str">
        <f t="shared" si="44"/>
        <v>s</v>
      </c>
      <c r="Y265" s="42"/>
    </row>
    <row r="266" spans="1:25" ht="15.75" x14ac:dyDescent="0.25">
      <c r="A266" s="4">
        <f>Données_Planning!A264</f>
        <v>0</v>
      </c>
      <c r="B266" s="6">
        <f>Données_Planning!B264</f>
        <v>0</v>
      </c>
      <c r="C266" s="28">
        <f>Données_Planning!C264</f>
        <v>0</v>
      </c>
      <c r="D266" s="50">
        <f t="shared" si="36"/>
        <v>0</v>
      </c>
      <c r="E266" s="51">
        <f t="shared" si="37"/>
        <v>0</v>
      </c>
      <c r="F266" s="52">
        <f t="shared" si="38"/>
        <v>0</v>
      </c>
      <c r="G266" s="47">
        <f>Données_Planning!L264</f>
        <v>0</v>
      </c>
      <c r="H266" s="18">
        <f>Données_Planning!H264</f>
        <v>0</v>
      </c>
      <c r="I266" s="5">
        <f>Données_Planning!D264</f>
        <v>0</v>
      </c>
      <c r="J266" s="22">
        <f>Données_Planning!F264</f>
        <v>0</v>
      </c>
      <c r="K266" s="22">
        <f>Données_Planning!E264</f>
        <v>0</v>
      </c>
      <c r="L266" s="35">
        <f>Données_Planning!G264</f>
        <v>0</v>
      </c>
      <c r="M266" s="37">
        <f>(IF(OR(A266="DWF",A266="DNF"),0,QUOTIENT(Données_Planning!J264,60)))</f>
        <v>0</v>
      </c>
      <c r="N266" s="7" t="str">
        <f t="shared" si="39"/>
        <v>min</v>
      </c>
      <c r="O266" s="36">
        <f>(IF(OR(A266="DWF",A266="DNF"),Données_Planning!J264,MOD(Données_Planning!J264,60)))</f>
        <v>0</v>
      </c>
      <c r="P266" s="28" t="str">
        <f t="shared" si="40"/>
        <v>s</v>
      </c>
      <c r="Q266" s="37">
        <f>(IF(OR(A266="DWF",A266="DNF"),0,QUOTIENT(Données_Planning!I264,60)))</f>
        <v>0</v>
      </c>
      <c r="R266" s="7" t="str">
        <f t="shared" si="41"/>
        <v>min</v>
      </c>
      <c r="S266" s="36">
        <f>(IF(OR(A266="DWF",A266="DNF"),Données_Planning!I264,MOD(Données_Planning!I264,60)))</f>
        <v>0</v>
      </c>
      <c r="T266" s="28" t="str">
        <f t="shared" si="42"/>
        <v>s</v>
      </c>
      <c r="U266" s="37">
        <f>(IF(OR(A266="DWF",A266="DNF"),0,QUOTIENT(Données_Planning!K264,60)))</f>
        <v>0</v>
      </c>
      <c r="V266" s="7" t="str">
        <f t="shared" si="43"/>
        <v>min</v>
      </c>
      <c r="W266" s="36">
        <f>(IF(OR(A266="DWF",A266="DNF"),Données_Planning!K264,MOD(Données_Planning!K264,60)))</f>
        <v>0</v>
      </c>
      <c r="X266" s="38" t="str">
        <f t="shared" si="44"/>
        <v>s</v>
      </c>
      <c r="Y266" s="42"/>
    </row>
    <row r="267" spans="1:25" ht="15.75" x14ac:dyDescent="0.25">
      <c r="A267" s="4">
        <f>Données_Planning!A265</f>
        <v>0</v>
      </c>
      <c r="B267" s="6">
        <f>Données_Planning!B265</f>
        <v>0</v>
      </c>
      <c r="C267" s="28">
        <f>Données_Planning!C265</f>
        <v>0</v>
      </c>
      <c r="D267" s="50">
        <f t="shared" si="36"/>
        <v>0</v>
      </c>
      <c r="E267" s="51">
        <f t="shared" si="37"/>
        <v>0</v>
      </c>
      <c r="F267" s="52">
        <f t="shared" si="38"/>
        <v>0</v>
      </c>
      <c r="G267" s="47">
        <f>Données_Planning!L265</f>
        <v>0</v>
      </c>
      <c r="H267" s="18">
        <f>Données_Planning!H265</f>
        <v>0</v>
      </c>
      <c r="I267" s="5">
        <f>Données_Planning!D265</f>
        <v>0</v>
      </c>
      <c r="J267" s="22">
        <f>Données_Planning!F265</f>
        <v>0</v>
      </c>
      <c r="K267" s="22">
        <f>Données_Planning!E265</f>
        <v>0</v>
      </c>
      <c r="L267" s="35">
        <f>Données_Planning!G265</f>
        <v>0</v>
      </c>
      <c r="M267" s="37">
        <f>(IF(OR(A267="DWF",A267="DNF"),0,QUOTIENT(Données_Planning!J265,60)))</f>
        <v>0</v>
      </c>
      <c r="N267" s="7" t="str">
        <f t="shared" si="39"/>
        <v>min</v>
      </c>
      <c r="O267" s="36">
        <f>(IF(OR(A267="DWF",A267="DNF"),Données_Planning!J265,MOD(Données_Planning!J265,60)))</f>
        <v>0</v>
      </c>
      <c r="P267" s="28" t="str">
        <f t="shared" si="40"/>
        <v>s</v>
      </c>
      <c r="Q267" s="37">
        <f>(IF(OR(A267="DWF",A267="DNF"),0,QUOTIENT(Données_Planning!I265,60)))</f>
        <v>0</v>
      </c>
      <c r="R267" s="7" t="str">
        <f t="shared" si="41"/>
        <v>min</v>
      </c>
      <c r="S267" s="36">
        <f>(IF(OR(A267="DWF",A267="DNF"),Données_Planning!I265,MOD(Données_Planning!I265,60)))</f>
        <v>0</v>
      </c>
      <c r="T267" s="28" t="str">
        <f t="shared" si="42"/>
        <v>s</v>
      </c>
      <c r="U267" s="37">
        <f>(IF(OR(A267="DWF",A267="DNF"),0,QUOTIENT(Données_Planning!K265,60)))</f>
        <v>0</v>
      </c>
      <c r="V267" s="7" t="str">
        <f t="shared" si="43"/>
        <v>min</v>
      </c>
      <c r="W267" s="36">
        <f>(IF(OR(A267="DWF",A267="DNF"),Données_Planning!K265,MOD(Données_Planning!K265,60)))</f>
        <v>0</v>
      </c>
      <c r="X267" s="38" t="str">
        <f t="shared" si="44"/>
        <v>s</v>
      </c>
      <c r="Y267" s="42"/>
    </row>
    <row r="268" spans="1:25" ht="15.75" x14ac:dyDescent="0.25">
      <c r="A268" s="4">
        <f>Données_Planning!A266</f>
        <v>0</v>
      </c>
      <c r="B268" s="6">
        <f>Données_Planning!B266</f>
        <v>0</v>
      </c>
      <c r="C268" s="28">
        <f>Données_Planning!C266</f>
        <v>0</v>
      </c>
      <c r="D268" s="50">
        <f t="shared" si="36"/>
        <v>0</v>
      </c>
      <c r="E268" s="51">
        <f t="shared" si="37"/>
        <v>0</v>
      </c>
      <c r="F268" s="52">
        <f t="shared" si="38"/>
        <v>0</v>
      </c>
      <c r="G268" s="47">
        <f>Données_Planning!L266</f>
        <v>0</v>
      </c>
      <c r="H268" s="18">
        <f>Données_Planning!H266</f>
        <v>0</v>
      </c>
      <c r="I268" s="5">
        <f>Données_Planning!D266</f>
        <v>0</v>
      </c>
      <c r="J268" s="22">
        <f>Données_Planning!F266</f>
        <v>0</v>
      </c>
      <c r="K268" s="22">
        <f>Données_Planning!E266</f>
        <v>0</v>
      </c>
      <c r="L268" s="35">
        <f>Données_Planning!G266</f>
        <v>0</v>
      </c>
      <c r="M268" s="37">
        <f>(IF(OR(A268="DWF",A268="DNF"),0,QUOTIENT(Données_Planning!J266,60)))</f>
        <v>0</v>
      </c>
      <c r="N268" s="7" t="str">
        <f t="shared" si="39"/>
        <v>min</v>
      </c>
      <c r="O268" s="36">
        <f>(IF(OR(A268="DWF",A268="DNF"),Données_Planning!J266,MOD(Données_Planning!J266,60)))</f>
        <v>0</v>
      </c>
      <c r="P268" s="28" t="str">
        <f t="shared" si="40"/>
        <v>s</v>
      </c>
      <c r="Q268" s="37">
        <f>(IF(OR(A268="DWF",A268="DNF"),0,QUOTIENT(Données_Planning!I266,60)))</f>
        <v>0</v>
      </c>
      <c r="R268" s="7" t="str">
        <f t="shared" si="41"/>
        <v>min</v>
      </c>
      <c r="S268" s="36">
        <f>(IF(OR(A268="DWF",A268="DNF"),Données_Planning!I266,MOD(Données_Planning!I266,60)))</f>
        <v>0</v>
      </c>
      <c r="T268" s="28" t="str">
        <f t="shared" si="42"/>
        <v>s</v>
      </c>
      <c r="U268" s="37">
        <f>(IF(OR(A268="DWF",A268="DNF"),0,QUOTIENT(Données_Planning!K266,60)))</f>
        <v>0</v>
      </c>
      <c r="V268" s="7" t="str">
        <f t="shared" si="43"/>
        <v>min</v>
      </c>
      <c r="W268" s="36">
        <f>(IF(OR(A268="DWF",A268="DNF"),Données_Planning!K266,MOD(Données_Planning!K266,60)))</f>
        <v>0</v>
      </c>
      <c r="X268" s="38" t="str">
        <f t="shared" si="44"/>
        <v>s</v>
      </c>
      <c r="Y268" s="42"/>
    </row>
    <row r="269" spans="1:25" ht="15.75" x14ac:dyDescent="0.25">
      <c r="A269" s="4">
        <f>Données_Planning!A267</f>
        <v>0</v>
      </c>
      <c r="B269" s="6">
        <f>Données_Planning!B267</f>
        <v>0</v>
      </c>
      <c r="C269" s="28">
        <f>Données_Planning!C267</f>
        <v>0</v>
      </c>
      <c r="D269" s="50">
        <f t="shared" si="36"/>
        <v>0</v>
      </c>
      <c r="E269" s="51">
        <f t="shared" si="37"/>
        <v>0</v>
      </c>
      <c r="F269" s="52">
        <f t="shared" si="38"/>
        <v>0</v>
      </c>
      <c r="G269" s="47">
        <f>Données_Planning!L267</f>
        <v>0</v>
      </c>
      <c r="H269" s="18">
        <f>Données_Planning!H267</f>
        <v>0</v>
      </c>
      <c r="I269" s="5">
        <f>Données_Planning!D267</f>
        <v>0</v>
      </c>
      <c r="J269" s="22">
        <f>Données_Planning!F267</f>
        <v>0</v>
      </c>
      <c r="K269" s="22">
        <f>Données_Planning!E267</f>
        <v>0</v>
      </c>
      <c r="L269" s="35">
        <f>Données_Planning!G267</f>
        <v>0</v>
      </c>
      <c r="M269" s="37">
        <f>(IF(OR(A269="DWF",A269="DNF"),0,QUOTIENT(Données_Planning!J267,60)))</f>
        <v>0</v>
      </c>
      <c r="N269" s="7" t="str">
        <f t="shared" si="39"/>
        <v>min</v>
      </c>
      <c r="O269" s="36">
        <f>(IF(OR(A269="DWF",A269="DNF"),Données_Planning!J267,MOD(Données_Planning!J267,60)))</f>
        <v>0</v>
      </c>
      <c r="P269" s="28" t="str">
        <f t="shared" si="40"/>
        <v>s</v>
      </c>
      <c r="Q269" s="37">
        <f>(IF(OR(A269="DWF",A269="DNF"),0,QUOTIENT(Données_Planning!I267,60)))</f>
        <v>0</v>
      </c>
      <c r="R269" s="7" t="str">
        <f t="shared" si="41"/>
        <v>min</v>
      </c>
      <c r="S269" s="36">
        <f>(IF(OR(A269="DWF",A269="DNF"),Données_Planning!I267,MOD(Données_Planning!I267,60)))</f>
        <v>0</v>
      </c>
      <c r="T269" s="28" t="str">
        <f t="shared" si="42"/>
        <v>s</v>
      </c>
      <c r="U269" s="37">
        <f>(IF(OR(A269="DWF",A269="DNF"),0,QUOTIENT(Données_Planning!K267,60)))</f>
        <v>0</v>
      </c>
      <c r="V269" s="7" t="str">
        <f t="shared" si="43"/>
        <v>min</v>
      </c>
      <c r="W269" s="36">
        <f>(IF(OR(A269="DWF",A269="DNF"),Données_Planning!K267,MOD(Données_Planning!K267,60)))</f>
        <v>0</v>
      </c>
      <c r="X269" s="38" t="str">
        <f t="shared" si="44"/>
        <v>s</v>
      </c>
      <c r="Y269" s="42"/>
    </row>
    <row r="270" spans="1:25" ht="15.75" x14ac:dyDescent="0.25">
      <c r="A270" s="4">
        <f>Données_Planning!A268</f>
        <v>0</v>
      </c>
      <c r="B270" s="6">
        <f>Données_Planning!B268</f>
        <v>0</v>
      </c>
      <c r="C270" s="28">
        <f>Données_Planning!C268</f>
        <v>0</v>
      </c>
      <c r="D270" s="50">
        <f t="shared" si="36"/>
        <v>0</v>
      </c>
      <c r="E270" s="51">
        <f t="shared" si="37"/>
        <v>0</v>
      </c>
      <c r="F270" s="52">
        <f t="shared" si="38"/>
        <v>0</v>
      </c>
      <c r="G270" s="47">
        <f>Données_Planning!L268</f>
        <v>0</v>
      </c>
      <c r="H270" s="18">
        <f>Données_Planning!H268</f>
        <v>0</v>
      </c>
      <c r="I270" s="5">
        <f>Données_Planning!D268</f>
        <v>0</v>
      </c>
      <c r="J270" s="22">
        <f>Données_Planning!F268</f>
        <v>0</v>
      </c>
      <c r="K270" s="22">
        <f>Données_Planning!E268</f>
        <v>0</v>
      </c>
      <c r="L270" s="35">
        <f>Données_Planning!G268</f>
        <v>0</v>
      </c>
      <c r="M270" s="37">
        <f>(IF(OR(A270="DWF",A270="DNF"),0,QUOTIENT(Données_Planning!J268,60)))</f>
        <v>0</v>
      </c>
      <c r="N270" s="7" t="str">
        <f t="shared" si="39"/>
        <v>min</v>
      </c>
      <c r="O270" s="36">
        <f>(IF(OR(A270="DWF",A270="DNF"),Données_Planning!J268,MOD(Données_Planning!J268,60)))</f>
        <v>0</v>
      </c>
      <c r="P270" s="28" t="str">
        <f t="shared" si="40"/>
        <v>s</v>
      </c>
      <c r="Q270" s="37">
        <f>(IF(OR(A270="DWF",A270="DNF"),0,QUOTIENT(Données_Planning!I268,60)))</f>
        <v>0</v>
      </c>
      <c r="R270" s="7" t="str">
        <f t="shared" si="41"/>
        <v>min</v>
      </c>
      <c r="S270" s="36">
        <f>(IF(OR(A270="DWF",A270="DNF"),Données_Planning!I268,MOD(Données_Planning!I268,60)))</f>
        <v>0</v>
      </c>
      <c r="T270" s="28" t="str">
        <f t="shared" si="42"/>
        <v>s</v>
      </c>
      <c r="U270" s="37">
        <f>(IF(OR(A270="DWF",A270="DNF"),0,QUOTIENT(Données_Planning!K268,60)))</f>
        <v>0</v>
      </c>
      <c r="V270" s="7" t="str">
        <f t="shared" si="43"/>
        <v>min</v>
      </c>
      <c r="W270" s="36">
        <f>(IF(OR(A270="DWF",A270="DNF"),Données_Planning!K268,MOD(Données_Planning!K268,60)))</f>
        <v>0</v>
      </c>
      <c r="X270" s="38" t="str">
        <f t="shared" si="44"/>
        <v>s</v>
      </c>
      <c r="Y270" s="42"/>
    </row>
    <row r="271" spans="1:25" ht="15.75" x14ac:dyDescent="0.25">
      <c r="A271" s="4">
        <f>Données_Planning!A269</f>
        <v>0</v>
      </c>
      <c r="B271" s="6">
        <f>Données_Planning!B269</f>
        <v>0</v>
      </c>
      <c r="C271" s="28">
        <f>Données_Planning!C269</f>
        <v>0</v>
      </c>
      <c r="D271" s="50">
        <f t="shared" si="36"/>
        <v>0</v>
      </c>
      <c r="E271" s="51">
        <f t="shared" si="37"/>
        <v>0</v>
      </c>
      <c r="F271" s="52">
        <f t="shared" si="38"/>
        <v>0</v>
      </c>
      <c r="G271" s="47">
        <f>Données_Planning!L269</f>
        <v>0</v>
      </c>
      <c r="H271" s="18">
        <f>Données_Planning!H269</f>
        <v>0</v>
      </c>
      <c r="I271" s="5">
        <f>Données_Planning!D269</f>
        <v>0</v>
      </c>
      <c r="J271" s="22">
        <f>Données_Planning!F269</f>
        <v>0</v>
      </c>
      <c r="K271" s="22">
        <f>Données_Planning!E269</f>
        <v>0</v>
      </c>
      <c r="L271" s="35">
        <f>Données_Planning!G269</f>
        <v>0</v>
      </c>
      <c r="M271" s="37">
        <f>(IF(OR(A271="DWF",A271="DNF"),0,QUOTIENT(Données_Planning!J269,60)))</f>
        <v>0</v>
      </c>
      <c r="N271" s="7" t="str">
        <f t="shared" si="39"/>
        <v>min</v>
      </c>
      <c r="O271" s="36">
        <f>(IF(OR(A271="DWF",A271="DNF"),Données_Planning!J269,MOD(Données_Planning!J269,60)))</f>
        <v>0</v>
      </c>
      <c r="P271" s="28" t="str">
        <f t="shared" si="40"/>
        <v>s</v>
      </c>
      <c r="Q271" s="37">
        <f>(IF(OR(A271="DWF",A271="DNF"),0,QUOTIENT(Données_Planning!I269,60)))</f>
        <v>0</v>
      </c>
      <c r="R271" s="7" t="str">
        <f t="shared" si="41"/>
        <v>min</v>
      </c>
      <c r="S271" s="36">
        <f>(IF(OR(A271="DWF",A271="DNF"),Données_Planning!I269,MOD(Données_Planning!I269,60)))</f>
        <v>0</v>
      </c>
      <c r="T271" s="28" t="str">
        <f t="shared" si="42"/>
        <v>s</v>
      </c>
      <c r="U271" s="37">
        <f>(IF(OR(A271="DWF",A271="DNF"),0,QUOTIENT(Données_Planning!K269,60)))</f>
        <v>0</v>
      </c>
      <c r="V271" s="7" t="str">
        <f t="shared" si="43"/>
        <v>min</v>
      </c>
      <c r="W271" s="36">
        <f>(IF(OR(A271="DWF",A271="DNF"),Données_Planning!K269,MOD(Données_Planning!K269,60)))</f>
        <v>0</v>
      </c>
      <c r="X271" s="38" t="str">
        <f t="shared" si="44"/>
        <v>s</v>
      </c>
      <c r="Y271" s="42"/>
    </row>
    <row r="272" spans="1:25" ht="15.75" x14ac:dyDescent="0.25">
      <c r="A272" s="4">
        <f>Données_Planning!A270</f>
        <v>0</v>
      </c>
      <c r="B272" s="6">
        <f>Données_Planning!B270</f>
        <v>0</v>
      </c>
      <c r="C272" s="28">
        <f>Données_Planning!C270</f>
        <v>0</v>
      </c>
      <c r="D272" s="50">
        <f t="shared" si="36"/>
        <v>0</v>
      </c>
      <c r="E272" s="51">
        <f t="shared" si="37"/>
        <v>0</v>
      </c>
      <c r="F272" s="52">
        <f t="shared" si="38"/>
        <v>0</v>
      </c>
      <c r="G272" s="47">
        <f>Données_Planning!L270</f>
        <v>0</v>
      </c>
      <c r="H272" s="18">
        <f>Données_Planning!H270</f>
        <v>0</v>
      </c>
      <c r="I272" s="5">
        <f>Données_Planning!D270</f>
        <v>0</v>
      </c>
      <c r="J272" s="22">
        <f>Données_Planning!F270</f>
        <v>0</v>
      </c>
      <c r="K272" s="22">
        <f>Données_Planning!E270</f>
        <v>0</v>
      </c>
      <c r="L272" s="35">
        <f>Données_Planning!G270</f>
        <v>0</v>
      </c>
      <c r="M272" s="37">
        <f>(IF(OR(A272="DWF",A272="DNF"),0,QUOTIENT(Données_Planning!J270,60)))</f>
        <v>0</v>
      </c>
      <c r="N272" s="7" t="str">
        <f t="shared" si="39"/>
        <v>min</v>
      </c>
      <c r="O272" s="36">
        <f>(IF(OR(A272="DWF",A272="DNF"),Données_Planning!J270,MOD(Données_Planning!J270,60)))</f>
        <v>0</v>
      </c>
      <c r="P272" s="28" t="str">
        <f t="shared" si="40"/>
        <v>s</v>
      </c>
      <c r="Q272" s="37">
        <f>(IF(OR(A272="DWF",A272="DNF"),0,QUOTIENT(Données_Planning!I270,60)))</f>
        <v>0</v>
      </c>
      <c r="R272" s="7" t="str">
        <f t="shared" si="41"/>
        <v>min</v>
      </c>
      <c r="S272" s="36">
        <f>(IF(OR(A272="DWF",A272="DNF"),Données_Planning!I270,MOD(Données_Planning!I270,60)))</f>
        <v>0</v>
      </c>
      <c r="T272" s="28" t="str">
        <f t="shared" si="42"/>
        <v>s</v>
      </c>
      <c r="U272" s="37">
        <f>(IF(OR(A272="DWF",A272="DNF"),0,QUOTIENT(Données_Planning!K270,60)))</f>
        <v>0</v>
      </c>
      <c r="V272" s="7" t="str">
        <f t="shared" si="43"/>
        <v>min</v>
      </c>
      <c r="W272" s="36">
        <f>(IF(OR(A272="DWF",A272="DNF"),Données_Planning!K270,MOD(Données_Planning!K270,60)))</f>
        <v>0</v>
      </c>
      <c r="X272" s="38" t="str">
        <f t="shared" si="44"/>
        <v>s</v>
      </c>
      <c r="Y272" s="42"/>
    </row>
    <row r="273" spans="1:25" ht="15.75" x14ac:dyDescent="0.25">
      <c r="A273" s="4">
        <f>Données_Planning!A271</f>
        <v>0</v>
      </c>
      <c r="B273" s="6">
        <f>Données_Planning!B271</f>
        <v>0</v>
      </c>
      <c r="C273" s="28">
        <f>Données_Planning!C271</f>
        <v>0</v>
      </c>
      <c r="D273" s="50">
        <f t="shared" si="36"/>
        <v>0</v>
      </c>
      <c r="E273" s="51">
        <f t="shared" si="37"/>
        <v>0</v>
      </c>
      <c r="F273" s="52">
        <f t="shared" si="38"/>
        <v>0</v>
      </c>
      <c r="G273" s="47">
        <f>Données_Planning!L271</f>
        <v>0</v>
      </c>
      <c r="H273" s="18">
        <f>Données_Planning!H271</f>
        <v>0</v>
      </c>
      <c r="I273" s="5">
        <f>Données_Planning!D271</f>
        <v>0</v>
      </c>
      <c r="J273" s="22">
        <f>Données_Planning!F271</f>
        <v>0</v>
      </c>
      <c r="K273" s="22">
        <f>Données_Planning!E271</f>
        <v>0</v>
      </c>
      <c r="L273" s="35">
        <f>Données_Planning!G271</f>
        <v>0</v>
      </c>
      <c r="M273" s="37">
        <f>(IF(OR(A273="DWF",A273="DNF"),0,QUOTIENT(Données_Planning!J271,60)))</f>
        <v>0</v>
      </c>
      <c r="N273" s="7" t="str">
        <f t="shared" si="39"/>
        <v>min</v>
      </c>
      <c r="O273" s="36">
        <f>(IF(OR(A273="DWF",A273="DNF"),Données_Planning!J271,MOD(Données_Planning!J271,60)))</f>
        <v>0</v>
      </c>
      <c r="P273" s="28" t="str">
        <f t="shared" si="40"/>
        <v>s</v>
      </c>
      <c r="Q273" s="37">
        <f>(IF(OR(A273="DWF",A273="DNF"),0,QUOTIENT(Données_Planning!I271,60)))</f>
        <v>0</v>
      </c>
      <c r="R273" s="7" t="str">
        <f t="shared" si="41"/>
        <v>min</v>
      </c>
      <c r="S273" s="36">
        <f>(IF(OR(A273="DWF",A273="DNF"),Données_Planning!I271,MOD(Données_Planning!I271,60)))</f>
        <v>0</v>
      </c>
      <c r="T273" s="28" t="str">
        <f t="shared" si="42"/>
        <v>s</v>
      </c>
      <c r="U273" s="37">
        <f>(IF(OR(A273="DWF",A273="DNF"),0,QUOTIENT(Données_Planning!K271,60)))</f>
        <v>0</v>
      </c>
      <c r="V273" s="7" t="str">
        <f t="shared" si="43"/>
        <v>min</v>
      </c>
      <c r="W273" s="36">
        <f>(IF(OR(A273="DWF",A273="DNF"),Données_Planning!K271,MOD(Données_Planning!K271,60)))</f>
        <v>0</v>
      </c>
      <c r="X273" s="38" t="str">
        <f t="shared" si="44"/>
        <v>s</v>
      </c>
      <c r="Y273" s="42"/>
    </row>
    <row r="274" spans="1:25" ht="15.75" x14ac:dyDescent="0.25">
      <c r="A274" s="4">
        <f>Données_Planning!A272</f>
        <v>0</v>
      </c>
      <c r="B274" s="6">
        <f>Données_Planning!B272</f>
        <v>0</v>
      </c>
      <c r="C274" s="28">
        <f>Données_Planning!C272</f>
        <v>0</v>
      </c>
      <c r="D274" s="50">
        <f t="shared" si="36"/>
        <v>0</v>
      </c>
      <c r="E274" s="51">
        <f t="shared" si="37"/>
        <v>0</v>
      </c>
      <c r="F274" s="52">
        <f t="shared" si="38"/>
        <v>0</v>
      </c>
      <c r="G274" s="47">
        <f>Données_Planning!L272</f>
        <v>0</v>
      </c>
      <c r="H274" s="18">
        <f>Données_Planning!H272</f>
        <v>0</v>
      </c>
      <c r="I274" s="5">
        <f>Données_Planning!D272</f>
        <v>0</v>
      </c>
      <c r="J274" s="22">
        <f>Données_Planning!F272</f>
        <v>0</v>
      </c>
      <c r="K274" s="22">
        <f>Données_Planning!E272</f>
        <v>0</v>
      </c>
      <c r="L274" s="35">
        <f>Données_Planning!G272</f>
        <v>0</v>
      </c>
      <c r="M274" s="37">
        <f>(IF(OR(A274="DWF",A274="DNF"),0,QUOTIENT(Données_Planning!J272,60)))</f>
        <v>0</v>
      </c>
      <c r="N274" s="7" t="str">
        <f t="shared" si="39"/>
        <v>min</v>
      </c>
      <c r="O274" s="36">
        <f>(IF(OR(A274="DWF",A274="DNF"),Données_Planning!J272,MOD(Données_Planning!J272,60)))</f>
        <v>0</v>
      </c>
      <c r="P274" s="28" t="str">
        <f t="shared" si="40"/>
        <v>s</v>
      </c>
      <c r="Q274" s="37">
        <f>(IF(OR(A274="DWF",A274="DNF"),0,QUOTIENT(Données_Planning!I272,60)))</f>
        <v>0</v>
      </c>
      <c r="R274" s="7" t="str">
        <f t="shared" si="41"/>
        <v>min</v>
      </c>
      <c r="S274" s="36">
        <f>(IF(OR(A274="DWF",A274="DNF"),Données_Planning!I272,MOD(Données_Planning!I272,60)))</f>
        <v>0</v>
      </c>
      <c r="T274" s="28" t="str">
        <f t="shared" si="42"/>
        <v>s</v>
      </c>
      <c r="U274" s="37">
        <f>(IF(OR(A274="DWF",A274="DNF"),0,QUOTIENT(Données_Planning!K272,60)))</f>
        <v>0</v>
      </c>
      <c r="V274" s="7" t="str">
        <f t="shared" si="43"/>
        <v>min</v>
      </c>
      <c r="W274" s="36">
        <f>(IF(OR(A274="DWF",A274="DNF"),Données_Planning!K272,MOD(Données_Planning!K272,60)))</f>
        <v>0</v>
      </c>
      <c r="X274" s="38" t="str">
        <f t="shared" si="44"/>
        <v>s</v>
      </c>
      <c r="Y274" s="42"/>
    </row>
    <row r="275" spans="1:25" ht="15.75" x14ac:dyDescent="0.25">
      <c r="A275" s="4">
        <f>Données_Planning!A273</f>
        <v>0</v>
      </c>
      <c r="B275" s="6">
        <f>Données_Planning!B273</f>
        <v>0</v>
      </c>
      <c r="C275" s="28">
        <f>Données_Planning!C273</f>
        <v>0</v>
      </c>
      <c r="D275" s="50">
        <f t="shared" si="36"/>
        <v>0</v>
      </c>
      <c r="E275" s="51">
        <f t="shared" si="37"/>
        <v>0</v>
      </c>
      <c r="F275" s="52">
        <f t="shared" si="38"/>
        <v>0</v>
      </c>
      <c r="G275" s="47">
        <f>Données_Planning!L273</f>
        <v>0</v>
      </c>
      <c r="H275" s="18">
        <f>Données_Planning!H273</f>
        <v>0</v>
      </c>
      <c r="I275" s="5">
        <f>Données_Planning!D273</f>
        <v>0</v>
      </c>
      <c r="J275" s="22">
        <f>Données_Planning!F273</f>
        <v>0</v>
      </c>
      <c r="K275" s="22">
        <f>Données_Planning!E273</f>
        <v>0</v>
      </c>
      <c r="L275" s="35">
        <f>Données_Planning!G273</f>
        <v>0</v>
      </c>
      <c r="M275" s="37">
        <f>(IF(OR(A275="DWF",A275="DNF"),0,QUOTIENT(Données_Planning!J273,60)))</f>
        <v>0</v>
      </c>
      <c r="N275" s="7" t="str">
        <f t="shared" si="39"/>
        <v>min</v>
      </c>
      <c r="O275" s="36">
        <f>(IF(OR(A275="DWF",A275="DNF"),Données_Planning!J273,MOD(Données_Planning!J273,60)))</f>
        <v>0</v>
      </c>
      <c r="P275" s="28" t="str">
        <f t="shared" si="40"/>
        <v>s</v>
      </c>
      <c r="Q275" s="37">
        <f>(IF(OR(A275="DWF",A275="DNF"),0,QUOTIENT(Données_Planning!I273,60)))</f>
        <v>0</v>
      </c>
      <c r="R275" s="7" t="str">
        <f t="shared" si="41"/>
        <v>min</v>
      </c>
      <c r="S275" s="36">
        <f>(IF(OR(A275="DWF",A275="DNF"),Données_Planning!I273,MOD(Données_Planning!I273,60)))</f>
        <v>0</v>
      </c>
      <c r="T275" s="28" t="str">
        <f t="shared" si="42"/>
        <v>s</v>
      </c>
      <c r="U275" s="37">
        <f>(IF(OR(A275="DWF",A275="DNF"),0,QUOTIENT(Données_Planning!K273,60)))</f>
        <v>0</v>
      </c>
      <c r="V275" s="7" t="str">
        <f t="shared" si="43"/>
        <v>min</v>
      </c>
      <c r="W275" s="36">
        <f>(IF(OR(A275="DWF",A275="DNF"),Données_Planning!K273,MOD(Données_Planning!K273,60)))</f>
        <v>0</v>
      </c>
      <c r="X275" s="38" t="str">
        <f t="shared" si="44"/>
        <v>s</v>
      </c>
      <c r="Y275" s="42"/>
    </row>
    <row r="276" spans="1:25" ht="15.75" x14ac:dyDescent="0.25">
      <c r="A276" s="4">
        <f>Données_Planning!A274</f>
        <v>0</v>
      </c>
      <c r="B276" s="6">
        <f>Données_Planning!B274</f>
        <v>0</v>
      </c>
      <c r="C276" s="28">
        <f>Données_Planning!C274</f>
        <v>0</v>
      </c>
      <c r="D276" s="50">
        <f t="shared" si="36"/>
        <v>0</v>
      </c>
      <c r="E276" s="51">
        <f t="shared" si="37"/>
        <v>0</v>
      </c>
      <c r="F276" s="52">
        <f t="shared" si="38"/>
        <v>0</v>
      </c>
      <c r="G276" s="47">
        <f>Données_Planning!L274</f>
        <v>0</v>
      </c>
      <c r="H276" s="18">
        <f>Données_Planning!H274</f>
        <v>0</v>
      </c>
      <c r="I276" s="5">
        <f>Données_Planning!D274</f>
        <v>0</v>
      </c>
      <c r="J276" s="22">
        <f>Données_Planning!F274</f>
        <v>0</v>
      </c>
      <c r="K276" s="22">
        <f>Données_Planning!E274</f>
        <v>0</v>
      </c>
      <c r="L276" s="35">
        <f>Données_Planning!G274</f>
        <v>0</v>
      </c>
      <c r="M276" s="37">
        <f>(IF(OR(A276="DWF",A276="DNF"),0,QUOTIENT(Données_Planning!J274,60)))</f>
        <v>0</v>
      </c>
      <c r="N276" s="7" t="str">
        <f t="shared" si="39"/>
        <v>min</v>
      </c>
      <c r="O276" s="36">
        <f>(IF(OR(A276="DWF",A276="DNF"),Données_Planning!J274,MOD(Données_Planning!J274,60)))</f>
        <v>0</v>
      </c>
      <c r="P276" s="28" t="str">
        <f t="shared" si="40"/>
        <v>s</v>
      </c>
      <c r="Q276" s="37">
        <f>(IF(OR(A276="DWF",A276="DNF"),0,QUOTIENT(Données_Planning!I274,60)))</f>
        <v>0</v>
      </c>
      <c r="R276" s="7" t="str">
        <f t="shared" si="41"/>
        <v>min</v>
      </c>
      <c r="S276" s="36">
        <f>(IF(OR(A276="DWF",A276="DNF"),Données_Planning!I274,MOD(Données_Planning!I274,60)))</f>
        <v>0</v>
      </c>
      <c r="T276" s="28" t="str">
        <f t="shared" si="42"/>
        <v>s</v>
      </c>
      <c r="U276" s="37">
        <f>(IF(OR(A276="DWF",A276="DNF"),0,QUOTIENT(Données_Planning!K274,60)))</f>
        <v>0</v>
      </c>
      <c r="V276" s="7" t="str">
        <f t="shared" si="43"/>
        <v>min</v>
      </c>
      <c r="W276" s="36">
        <f>(IF(OR(A276="DWF",A276="DNF"),Données_Planning!K274,MOD(Données_Planning!K274,60)))</f>
        <v>0</v>
      </c>
      <c r="X276" s="38" t="str">
        <f t="shared" si="44"/>
        <v>s</v>
      </c>
      <c r="Y276" s="42"/>
    </row>
    <row r="277" spans="1:25" ht="15.75" x14ac:dyDescent="0.25">
      <c r="A277" s="4">
        <f>Données_Planning!A275</f>
        <v>0</v>
      </c>
      <c r="B277" s="6">
        <f>Données_Planning!B275</f>
        <v>0</v>
      </c>
      <c r="C277" s="28">
        <f>Données_Planning!C275</f>
        <v>0</v>
      </c>
      <c r="D277" s="50">
        <f t="shared" si="36"/>
        <v>0</v>
      </c>
      <c r="E277" s="51">
        <f t="shared" si="37"/>
        <v>0</v>
      </c>
      <c r="F277" s="52">
        <f t="shared" si="38"/>
        <v>0</v>
      </c>
      <c r="G277" s="47">
        <f>Données_Planning!L275</f>
        <v>0</v>
      </c>
      <c r="H277" s="18">
        <f>Données_Planning!H275</f>
        <v>0</v>
      </c>
      <c r="I277" s="5">
        <f>Données_Planning!D275</f>
        <v>0</v>
      </c>
      <c r="J277" s="22">
        <f>Données_Planning!F275</f>
        <v>0</v>
      </c>
      <c r="K277" s="22">
        <f>Données_Planning!E275</f>
        <v>0</v>
      </c>
      <c r="L277" s="35">
        <f>Données_Planning!G275</f>
        <v>0</v>
      </c>
      <c r="M277" s="37">
        <f>(IF(OR(A277="DWF",A277="DNF"),0,QUOTIENT(Données_Planning!J275,60)))</f>
        <v>0</v>
      </c>
      <c r="N277" s="7" t="str">
        <f t="shared" si="39"/>
        <v>min</v>
      </c>
      <c r="O277" s="36">
        <f>(IF(OR(A277="DWF",A277="DNF"),Données_Planning!J275,MOD(Données_Planning!J275,60)))</f>
        <v>0</v>
      </c>
      <c r="P277" s="28" t="str">
        <f t="shared" si="40"/>
        <v>s</v>
      </c>
      <c r="Q277" s="37">
        <f>(IF(OR(A277="DWF",A277="DNF"),0,QUOTIENT(Données_Planning!I275,60)))</f>
        <v>0</v>
      </c>
      <c r="R277" s="7" t="str">
        <f t="shared" si="41"/>
        <v>min</v>
      </c>
      <c r="S277" s="36">
        <f>(IF(OR(A277="DWF",A277="DNF"),Données_Planning!I275,MOD(Données_Planning!I275,60)))</f>
        <v>0</v>
      </c>
      <c r="T277" s="28" t="str">
        <f t="shared" si="42"/>
        <v>s</v>
      </c>
      <c r="U277" s="37">
        <f>(IF(OR(A277="DWF",A277="DNF"),0,QUOTIENT(Données_Planning!K275,60)))</f>
        <v>0</v>
      </c>
      <c r="V277" s="7" t="str">
        <f t="shared" si="43"/>
        <v>min</v>
      </c>
      <c r="W277" s="36">
        <f>(IF(OR(A277="DWF",A277="DNF"),Données_Planning!K275,MOD(Données_Planning!K275,60)))</f>
        <v>0</v>
      </c>
      <c r="X277" s="38" t="str">
        <f t="shared" si="44"/>
        <v>s</v>
      </c>
      <c r="Y277" s="42"/>
    </row>
    <row r="278" spans="1:25" ht="15.75" x14ac:dyDescent="0.25">
      <c r="A278" s="4">
        <f>Données_Planning!A276</f>
        <v>0</v>
      </c>
      <c r="B278" s="6">
        <f>Données_Planning!B276</f>
        <v>0</v>
      </c>
      <c r="C278" s="28">
        <f>Données_Planning!C276</f>
        <v>0</v>
      </c>
      <c r="D278" s="50">
        <f t="shared" si="36"/>
        <v>0</v>
      </c>
      <c r="E278" s="51">
        <f t="shared" si="37"/>
        <v>0</v>
      </c>
      <c r="F278" s="52">
        <f t="shared" si="38"/>
        <v>0</v>
      </c>
      <c r="G278" s="47">
        <f>Données_Planning!L276</f>
        <v>0</v>
      </c>
      <c r="H278" s="18">
        <f>Données_Planning!H276</f>
        <v>0</v>
      </c>
      <c r="I278" s="5">
        <f>Données_Planning!D276</f>
        <v>0</v>
      </c>
      <c r="J278" s="22">
        <f>Données_Planning!F276</f>
        <v>0</v>
      </c>
      <c r="K278" s="22">
        <f>Données_Planning!E276</f>
        <v>0</v>
      </c>
      <c r="L278" s="35">
        <f>Données_Planning!G276</f>
        <v>0</v>
      </c>
      <c r="M278" s="37">
        <f>(IF(OR(A278="DWF",A278="DNF"),0,QUOTIENT(Données_Planning!J276,60)))</f>
        <v>0</v>
      </c>
      <c r="N278" s="7" t="str">
        <f t="shared" si="39"/>
        <v>min</v>
      </c>
      <c r="O278" s="36">
        <f>(IF(OR(A278="DWF",A278="DNF"),Données_Planning!J276,MOD(Données_Planning!J276,60)))</f>
        <v>0</v>
      </c>
      <c r="P278" s="28" t="str">
        <f t="shared" si="40"/>
        <v>s</v>
      </c>
      <c r="Q278" s="37">
        <f>(IF(OR(A278="DWF",A278="DNF"),0,QUOTIENT(Données_Planning!I276,60)))</f>
        <v>0</v>
      </c>
      <c r="R278" s="7" t="str">
        <f t="shared" si="41"/>
        <v>min</v>
      </c>
      <c r="S278" s="36">
        <f>(IF(OR(A278="DWF",A278="DNF"),Données_Planning!I276,MOD(Données_Planning!I276,60)))</f>
        <v>0</v>
      </c>
      <c r="T278" s="28" t="str">
        <f t="shared" si="42"/>
        <v>s</v>
      </c>
      <c r="U278" s="37">
        <f>(IF(OR(A278="DWF",A278="DNF"),0,QUOTIENT(Données_Planning!K276,60)))</f>
        <v>0</v>
      </c>
      <c r="V278" s="7" t="str">
        <f t="shared" si="43"/>
        <v>min</v>
      </c>
      <c r="W278" s="36">
        <f>(IF(OR(A278="DWF",A278="DNF"),Données_Planning!K276,MOD(Données_Planning!K276,60)))</f>
        <v>0</v>
      </c>
      <c r="X278" s="38" t="str">
        <f t="shared" si="44"/>
        <v>s</v>
      </c>
      <c r="Y278" s="42"/>
    </row>
    <row r="279" spans="1:25" ht="15.75" x14ac:dyDescent="0.25">
      <c r="A279" s="4">
        <f>Données_Planning!A277</f>
        <v>0</v>
      </c>
      <c r="B279" s="6">
        <f>Données_Planning!B277</f>
        <v>0</v>
      </c>
      <c r="C279" s="28">
        <f>Données_Planning!C277</f>
        <v>0</v>
      </c>
      <c r="D279" s="50">
        <f t="shared" si="36"/>
        <v>0</v>
      </c>
      <c r="E279" s="51">
        <f t="shared" si="37"/>
        <v>0</v>
      </c>
      <c r="F279" s="52">
        <f t="shared" si="38"/>
        <v>0</v>
      </c>
      <c r="G279" s="47">
        <f>Données_Planning!L277</f>
        <v>0</v>
      </c>
      <c r="H279" s="18">
        <f>Données_Planning!H277</f>
        <v>0</v>
      </c>
      <c r="I279" s="5">
        <f>Données_Planning!D277</f>
        <v>0</v>
      </c>
      <c r="J279" s="22">
        <f>Données_Planning!F277</f>
        <v>0</v>
      </c>
      <c r="K279" s="22">
        <f>Données_Planning!E277</f>
        <v>0</v>
      </c>
      <c r="L279" s="35">
        <f>Données_Planning!G277</f>
        <v>0</v>
      </c>
      <c r="M279" s="37">
        <f>(IF(OR(A279="DWF",A279="DNF"),0,QUOTIENT(Données_Planning!J277,60)))</f>
        <v>0</v>
      </c>
      <c r="N279" s="7" t="str">
        <f t="shared" si="39"/>
        <v>min</v>
      </c>
      <c r="O279" s="36">
        <f>(IF(OR(A279="DWF",A279="DNF"),Données_Planning!J277,MOD(Données_Planning!J277,60)))</f>
        <v>0</v>
      </c>
      <c r="P279" s="28" t="str">
        <f t="shared" si="40"/>
        <v>s</v>
      </c>
      <c r="Q279" s="37">
        <f>(IF(OR(A279="DWF",A279="DNF"),0,QUOTIENT(Données_Planning!I277,60)))</f>
        <v>0</v>
      </c>
      <c r="R279" s="7" t="str">
        <f t="shared" si="41"/>
        <v>min</v>
      </c>
      <c r="S279" s="36">
        <f>(IF(OR(A279="DWF",A279="DNF"),Données_Planning!I277,MOD(Données_Planning!I277,60)))</f>
        <v>0</v>
      </c>
      <c r="T279" s="28" t="str">
        <f t="shared" si="42"/>
        <v>s</v>
      </c>
      <c r="U279" s="37">
        <f>(IF(OR(A279="DWF",A279="DNF"),0,QUOTIENT(Données_Planning!K277,60)))</f>
        <v>0</v>
      </c>
      <c r="V279" s="7" t="str">
        <f t="shared" si="43"/>
        <v>min</v>
      </c>
      <c r="W279" s="36">
        <f>(IF(OR(A279="DWF",A279="DNF"),Données_Planning!K277,MOD(Données_Planning!K277,60)))</f>
        <v>0</v>
      </c>
      <c r="X279" s="38" t="str">
        <f t="shared" si="44"/>
        <v>s</v>
      </c>
      <c r="Y279" s="42"/>
    </row>
    <row r="280" spans="1:25" ht="15.75" x14ac:dyDescent="0.25">
      <c r="A280" s="4">
        <f>Données_Planning!A278</f>
        <v>0</v>
      </c>
      <c r="B280" s="6">
        <f>Données_Planning!B278</f>
        <v>0</v>
      </c>
      <c r="C280" s="28">
        <f>Données_Planning!C278</f>
        <v>0</v>
      </c>
      <c r="D280" s="50">
        <f t="shared" si="36"/>
        <v>0</v>
      </c>
      <c r="E280" s="51">
        <f t="shared" si="37"/>
        <v>0</v>
      </c>
      <c r="F280" s="52">
        <f t="shared" si="38"/>
        <v>0</v>
      </c>
      <c r="G280" s="47">
        <f>Données_Planning!L278</f>
        <v>0</v>
      </c>
      <c r="H280" s="18">
        <f>Données_Planning!H278</f>
        <v>0</v>
      </c>
      <c r="I280" s="5">
        <f>Données_Planning!D278</f>
        <v>0</v>
      </c>
      <c r="J280" s="22">
        <f>Données_Planning!F278</f>
        <v>0</v>
      </c>
      <c r="K280" s="22">
        <f>Données_Planning!E278</f>
        <v>0</v>
      </c>
      <c r="L280" s="35">
        <f>Données_Planning!G278</f>
        <v>0</v>
      </c>
      <c r="M280" s="37">
        <f>(IF(OR(A280="DWF",A280="DNF"),0,QUOTIENT(Données_Planning!J278,60)))</f>
        <v>0</v>
      </c>
      <c r="N280" s="7" t="str">
        <f t="shared" si="39"/>
        <v>min</v>
      </c>
      <c r="O280" s="36">
        <f>(IF(OR(A280="DWF",A280="DNF"),Données_Planning!J278,MOD(Données_Planning!J278,60)))</f>
        <v>0</v>
      </c>
      <c r="P280" s="28" t="str">
        <f t="shared" si="40"/>
        <v>s</v>
      </c>
      <c r="Q280" s="37">
        <f>(IF(OR(A280="DWF",A280="DNF"),0,QUOTIENT(Données_Planning!I278,60)))</f>
        <v>0</v>
      </c>
      <c r="R280" s="7" t="str">
        <f t="shared" si="41"/>
        <v>min</v>
      </c>
      <c r="S280" s="36">
        <f>(IF(OR(A280="DWF",A280="DNF"),Données_Planning!I278,MOD(Données_Planning!I278,60)))</f>
        <v>0</v>
      </c>
      <c r="T280" s="28" t="str">
        <f t="shared" si="42"/>
        <v>s</v>
      </c>
      <c r="U280" s="37">
        <f>(IF(OR(A280="DWF",A280="DNF"),0,QUOTIENT(Données_Planning!K278,60)))</f>
        <v>0</v>
      </c>
      <c r="V280" s="7" t="str">
        <f t="shared" si="43"/>
        <v>min</v>
      </c>
      <c r="W280" s="36">
        <f>(IF(OR(A280="DWF",A280="DNF"),Données_Planning!K278,MOD(Données_Planning!K278,60)))</f>
        <v>0</v>
      </c>
      <c r="X280" s="38" t="str">
        <f t="shared" si="44"/>
        <v>s</v>
      </c>
      <c r="Y280" s="42"/>
    </row>
    <row r="281" spans="1:25" ht="15.75" x14ac:dyDescent="0.25">
      <c r="A281" s="4">
        <f>Données_Planning!A279</f>
        <v>0</v>
      </c>
      <c r="B281" s="6">
        <f>Données_Planning!B279</f>
        <v>0</v>
      </c>
      <c r="C281" s="28">
        <f>Données_Planning!C279</f>
        <v>0</v>
      </c>
      <c r="D281" s="50">
        <f t="shared" si="36"/>
        <v>0</v>
      </c>
      <c r="E281" s="51">
        <f t="shared" si="37"/>
        <v>0</v>
      </c>
      <c r="F281" s="52">
        <f t="shared" si="38"/>
        <v>0</v>
      </c>
      <c r="G281" s="47">
        <f>Données_Planning!L279</f>
        <v>0</v>
      </c>
      <c r="H281" s="18">
        <f>Données_Planning!H279</f>
        <v>0</v>
      </c>
      <c r="I281" s="5">
        <f>Données_Planning!D279</f>
        <v>0</v>
      </c>
      <c r="J281" s="22">
        <f>Données_Planning!F279</f>
        <v>0</v>
      </c>
      <c r="K281" s="22">
        <f>Données_Planning!E279</f>
        <v>0</v>
      </c>
      <c r="L281" s="35">
        <f>Données_Planning!G279</f>
        <v>0</v>
      </c>
      <c r="M281" s="37">
        <f>(IF(OR(A281="DWF",A281="DNF"),0,QUOTIENT(Données_Planning!J279,60)))</f>
        <v>0</v>
      </c>
      <c r="N281" s="7" t="str">
        <f t="shared" si="39"/>
        <v>min</v>
      </c>
      <c r="O281" s="36">
        <f>(IF(OR(A281="DWF",A281="DNF"),Données_Planning!J279,MOD(Données_Planning!J279,60)))</f>
        <v>0</v>
      </c>
      <c r="P281" s="28" t="str">
        <f t="shared" si="40"/>
        <v>s</v>
      </c>
      <c r="Q281" s="37">
        <f>(IF(OR(A281="DWF",A281="DNF"),0,QUOTIENT(Données_Planning!I279,60)))</f>
        <v>0</v>
      </c>
      <c r="R281" s="7" t="str">
        <f t="shared" si="41"/>
        <v>min</v>
      </c>
      <c r="S281" s="36">
        <f>(IF(OR(A281="DWF",A281="DNF"),Données_Planning!I279,MOD(Données_Planning!I279,60)))</f>
        <v>0</v>
      </c>
      <c r="T281" s="28" t="str">
        <f t="shared" si="42"/>
        <v>s</v>
      </c>
      <c r="U281" s="37">
        <f>(IF(OR(A281="DWF",A281="DNF"),0,QUOTIENT(Données_Planning!K279,60)))</f>
        <v>0</v>
      </c>
      <c r="V281" s="7" t="str">
        <f t="shared" si="43"/>
        <v>min</v>
      </c>
      <c r="W281" s="36">
        <f>(IF(OR(A281="DWF",A281="DNF"),Données_Planning!K279,MOD(Données_Planning!K279,60)))</f>
        <v>0</v>
      </c>
      <c r="X281" s="38" t="str">
        <f t="shared" si="44"/>
        <v>s</v>
      </c>
      <c r="Y281" s="42"/>
    </row>
    <row r="282" spans="1:25" ht="15.75" x14ac:dyDescent="0.25">
      <c r="A282" s="4">
        <f>Données_Planning!A280</f>
        <v>0</v>
      </c>
      <c r="B282" s="6">
        <f>Données_Planning!B280</f>
        <v>0</v>
      </c>
      <c r="C282" s="28">
        <f>Données_Planning!C280</f>
        <v>0</v>
      </c>
      <c r="D282" s="50">
        <f t="shared" si="36"/>
        <v>0</v>
      </c>
      <c r="E282" s="51">
        <f t="shared" si="37"/>
        <v>0</v>
      </c>
      <c r="F282" s="52">
        <f t="shared" si="38"/>
        <v>0</v>
      </c>
      <c r="G282" s="47">
        <f>Données_Planning!L280</f>
        <v>0</v>
      </c>
      <c r="H282" s="18">
        <f>Données_Planning!H280</f>
        <v>0</v>
      </c>
      <c r="I282" s="5">
        <f>Données_Planning!D280</f>
        <v>0</v>
      </c>
      <c r="J282" s="22">
        <f>Données_Planning!F280</f>
        <v>0</v>
      </c>
      <c r="K282" s="22">
        <f>Données_Planning!E280</f>
        <v>0</v>
      </c>
      <c r="L282" s="35">
        <f>Données_Planning!G280</f>
        <v>0</v>
      </c>
      <c r="M282" s="37">
        <f>(IF(OR(A282="DWF",A282="DNF"),0,QUOTIENT(Données_Planning!J280,60)))</f>
        <v>0</v>
      </c>
      <c r="N282" s="7" t="str">
        <f t="shared" si="39"/>
        <v>min</v>
      </c>
      <c r="O282" s="36">
        <f>(IF(OR(A282="DWF",A282="DNF"),Données_Planning!J280,MOD(Données_Planning!J280,60)))</f>
        <v>0</v>
      </c>
      <c r="P282" s="28" t="str">
        <f t="shared" si="40"/>
        <v>s</v>
      </c>
      <c r="Q282" s="37">
        <f>(IF(OR(A282="DWF",A282="DNF"),0,QUOTIENT(Données_Planning!I280,60)))</f>
        <v>0</v>
      </c>
      <c r="R282" s="7" t="str">
        <f t="shared" si="41"/>
        <v>min</v>
      </c>
      <c r="S282" s="36">
        <f>(IF(OR(A282="DWF",A282="DNF"),Données_Planning!I280,MOD(Données_Planning!I280,60)))</f>
        <v>0</v>
      </c>
      <c r="T282" s="28" t="str">
        <f t="shared" si="42"/>
        <v>s</v>
      </c>
      <c r="U282" s="37">
        <f>(IF(OR(A282="DWF",A282="DNF"),0,QUOTIENT(Données_Planning!K280,60)))</f>
        <v>0</v>
      </c>
      <c r="V282" s="7" t="str">
        <f t="shared" si="43"/>
        <v>min</v>
      </c>
      <c r="W282" s="36">
        <f>(IF(OR(A282="DWF",A282="DNF"),Données_Planning!K280,MOD(Données_Planning!K280,60)))</f>
        <v>0</v>
      </c>
      <c r="X282" s="38" t="str">
        <f t="shared" si="44"/>
        <v>s</v>
      </c>
      <c r="Y282" s="42"/>
    </row>
    <row r="283" spans="1:25" ht="15.75" x14ac:dyDescent="0.25">
      <c r="A283" s="4">
        <f>Données_Planning!A281</f>
        <v>0</v>
      </c>
      <c r="B283" s="6">
        <f>Données_Planning!B281</f>
        <v>0</v>
      </c>
      <c r="C283" s="28">
        <f>Données_Planning!C281</f>
        <v>0</v>
      </c>
      <c r="D283" s="50">
        <f t="shared" si="36"/>
        <v>0</v>
      </c>
      <c r="E283" s="51">
        <f t="shared" si="37"/>
        <v>0</v>
      </c>
      <c r="F283" s="52">
        <f t="shared" si="38"/>
        <v>0</v>
      </c>
      <c r="G283" s="47">
        <f>Données_Planning!L281</f>
        <v>0</v>
      </c>
      <c r="H283" s="18">
        <f>Données_Planning!H281</f>
        <v>0</v>
      </c>
      <c r="I283" s="5">
        <f>Données_Planning!D281</f>
        <v>0</v>
      </c>
      <c r="J283" s="22">
        <f>Données_Planning!F281</f>
        <v>0</v>
      </c>
      <c r="K283" s="22">
        <f>Données_Planning!E281</f>
        <v>0</v>
      </c>
      <c r="L283" s="35">
        <f>Données_Planning!G281</f>
        <v>0</v>
      </c>
      <c r="M283" s="37">
        <f>(IF(OR(A283="DWF",A283="DNF"),0,QUOTIENT(Données_Planning!J281,60)))</f>
        <v>0</v>
      </c>
      <c r="N283" s="7" t="str">
        <f t="shared" si="39"/>
        <v>min</v>
      </c>
      <c r="O283" s="36">
        <f>(IF(OR(A283="DWF",A283="DNF"),Données_Planning!J281,MOD(Données_Planning!J281,60)))</f>
        <v>0</v>
      </c>
      <c r="P283" s="28" t="str">
        <f t="shared" si="40"/>
        <v>s</v>
      </c>
      <c r="Q283" s="37">
        <f>(IF(OR(A283="DWF",A283="DNF"),0,QUOTIENT(Données_Planning!I281,60)))</f>
        <v>0</v>
      </c>
      <c r="R283" s="7" t="str">
        <f t="shared" si="41"/>
        <v>min</v>
      </c>
      <c r="S283" s="36">
        <f>(IF(OR(A283="DWF",A283="DNF"),Données_Planning!I281,MOD(Données_Planning!I281,60)))</f>
        <v>0</v>
      </c>
      <c r="T283" s="28" t="str">
        <f t="shared" si="42"/>
        <v>s</v>
      </c>
      <c r="U283" s="37">
        <f>(IF(OR(A283="DWF",A283="DNF"),0,QUOTIENT(Données_Planning!K281,60)))</f>
        <v>0</v>
      </c>
      <c r="V283" s="7" t="str">
        <f t="shared" si="43"/>
        <v>min</v>
      </c>
      <c r="W283" s="36">
        <f>(IF(OR(A283="DWF",A283="DNF"),Données_Planning!K281,MOD(Données_Planning!K281,60)))</f>
        <v>0</v>
      </c>
      <c r="X283" s="38" t="str">
        <f t="shared" si="44"/>
        <v>s</v>
      </c>
      <c r="Y283" s="42"/>
    </row>
    <row r="284" spans="1:25" ht="15.75" x14ac:dyDescent="0.25">
      <c r="A284" s="4">
        <f>Données_Planning!A282</f>
        <v>0</v>
      </c>
      <c r="B284" s="6">
        <f>Données_Planning!B282</f>
        <v>0</v>
      </c>
      <c r="C284" s="28">
        <f>Données_Planning!C282</f>
        <v>0</v>
      </c>
      <c r="D284" s="50">
        <f t="shared" si="36"/>
        <v>0</v>
      </c>
      <c r="E284" s="51">
        <f t="shared" si="37"/>
        <v>0</v>
      </c>
      <c r="F284" s="52">
        <f t="shared" si="38"/>
        <v>0</v>
      </c>
      <c r="G284" s="47">
        <f>Données_Planning!L282</f>
        <v>0</v>
      </c>
      <c r="H284" s="18">
        <f>Données_Planning!H282</f>
        <v>0</v>
      </c>
      <c r="I284" s="5">
        <f>Données_Planning!D282</f>
        <v>0</v>
      </c>
      <c r="J284" s="22">
        <f>Données_Planning!F282</f>
        <v>0</v>
      </c>
      <c r="K284" s="22">
        <f>Données_Planning!E282</f>
        <v>0</v>
      </c>
      <c r="L284" s="35">
        <f>Données_Planning!G282</f>
        <v>0</v>
      </c>
      <c r="M284" s="37">
        <f>(IF(OR(A284="DWF",A284="DNF"),0,QUOTIENT(Données_Planning!J282,60)))</f>
        <v>0</v>
      </c>
      <c r="N284" s="7" t="str">
        <f t="shared" si="39"/>
        <v>min</v>
      </c>
      <c r="O284" s="36">
        <f>(IF(OR(A284="DWF",A284="DNF"),Données_Planning!J282,MOD(Données_Planning!J282,60)))</f>
        <v>0</v>
      </c>
      <c r="P284" s="28" t="str">
        <f t="shared" si="40"/>
        <v>s</v>
      </c>
      <c r="Q284" s="37">
        <f>(IF(OR(A284="DWF",A284="DNF"),0,QUOTIENT(Données_Planning!I282,60)))</f>
        <v>0</v>
      </c>
      <c r="R284" s="7" t="str">
        <f t="shared" si="41"/>
        <v>min</v>
      </c>
      <c r="S284" s="36">
        <f>(IF(OR(A284="DWF",A284="DNF"),Données_Planning!I282,MOD(Données_Planning!I282,60)))</f>
        <v>0</v>
      </c>
      <c r="T284" s="28" t="str">
        <f t="shared" si="42"/>
        <v>s</v>
      </c>
      <c r="U284" s="37">
        <f>(IF(OR(A284="DWF",A284="DNF"),0,QUOTIENT(Données_Planning!K282,60)))</f>
        <v>0</v>
      </c>
      <c r="V284" s="7" t="str">
        <f t="shared" si="43"/>
        <v>min</v>
      </c>
      <c r="W284" s="36">
        <f>(IF(OR(A284="DWF",A284="DNF"),Données_Planning!K282,MOD(Données_Planning!K282,60)))</f>
        <v>0</v>
      </c>
      <c r="X284" s="38" t="str">
        <f t="shared" si="44"/>
        <v>s</v>
      </c>
      <c r="Y284" s="42"/>
    </row>
    <row r="285" spans="1:25" ht="15.75" x14ac:dyDescent="0.25">
      <c r="A285" s="4">
        <f>Données_Planning!A283</f>
        <v>0</v>
      </c>
      <c r="B285" s="6">
        <f>Données_Planning!B283</f>
        <v>0</v>
      </c>
      <c r="C285" s="28">
        <f>Données_Planning!C283</f>
        <v>0</v>
      </c>
      <c r="D285" s="50">
        <f t="shared" si="36"/>
        <v>0</v>
      </c>
      <c r="E285" s="51">
        <f t="shared" si="37"/>
        <v>0</v>
      </c>
      <c r="F285" s="52">
        <f t="shared" si="38"/>
        <v>0</v>
      </c>
      <c r="G285" s="47">
        <f>Données_Planning!L283</f>
        <v>0</v>
      </c>
      <c r="H285" s="18">
        <f>Données_Planning!H283</f>
        <v>0</v>
      </c>
      <c r="I285" s="5">
        <f>Données_Planning!D283</f>
        <v>0</v>
      </c>
      <c r="J285" s="22">
        <f>Données_Planning!F283</f>
        <v>0</v>
      </c>
      <c r="K285" s="22">
        <f>Données_Planning!E283</f>
        <v>0</v>
      </c>
      <c r="L285" s="35">
        <f>Données_Planning!G283</f>
        <v>0</v>
      </c>
      <c r="M285" s="37">
        <f>(IF(OR(A285="DWF",A285="DNF"),0,QUOTIENT(Données_Planning!J283,60)))</f>
        <v>0</v>
      </c>
      <c r="N285" s="7" t="str">
        <f t="shared" si="39"/>
        <v>min</v>
      </c>
      <c r="O285" s="36">
        <f>(IF(OR(A285="DWF",A285="DNF"),Données_Planning!J283,MOD(Données_Planning!J283,60)))</f>
        <v>0</v>
      </c>
      <c r="P285" s="28" t="str">
        <f t="shared" si="40"/>
        <v>s</v>
      </c>
      <c r="Q285" s="37">
        <f>(IF(OR(A285="DWF",A285="DNF"),0,QUOTIENT(Données_Planning!I283,60)))</f>
        <v>0</v>
      </c>
      <c r="R285" s="7" t="str">
        <f t="shared" si="41"/>
        <v>min</v>
      </c>
      <c r="S285" s="36">
        <f>(IF(OR(A285="DWF",A285="DNF"),Données_Planning!I283,MOD(Données_Planning!I283,60)))</f>
        <v>0</v>
      </c>
      <c r="T285" s="28" t="str">
        <f t="shared" si="42"/>
        <v>s</v>
      </c>
      <c r="U285" s="37">
        <f>(IF(OR(A285="DWF",A285="DNF"),0,QUOTIENT(Données_Planning!K283,60)))</f>
        <v>0</v>
      </c>
      <c r="V285" s="7" t="str">
        <f t="shared" si="43"/>
        <v>min</v>
      </c>
      <c r="W285" s="36">
        <f>(IF(OR(A285="DWF",A285="DNF"),Données_Planning!K283,MOD(Données_Planning!K283,60)))</f>
        <v>0</v>
      </c>
      <c r="X285" s="38" t="str">
        <f t="shared" si="44"/>
        <v>s</v>
      </c>
      <c r="Y285" s="42"/>
    </row>
    <row r="286" spans="1:25" ht="15.75" x14ac:dyDescent="0.25">
      <c r="A286" s="4">
        <f>Données_Planning!A284</f>
        <v>0</v>
      </c>
      <c r="B286" s="6">
        <f>Données_Planning!B284</f>
        <v>0</v>
      </c>
      <c r="C286" s="28">
        <f>Données_Planning!C284</f>
        <v>0</v>
      </c>
      <c r="D286" s="50">
        <f t="shared" si="36"/>
        <v>0</v>
      </c>
      <c r="E286" s="51">
        <f t="shared" si="37"/>
        <v>0</v>
      </c>
      <c r="F286" s="52">
        <f t="shared" si="38"/>
        <v>0</v>
      </c>
      <c r="G286" s="47">
        <f>Données_Planning!L284</f>
        <v>0</v>
      </c>
      <c r="H286" s="18">
        <f>Données_Planning!H284</f>
        <v>0</v>
      </c>
      <c r="I286" s="5">
        <f>Données_Planning!D284</f>
        <v>0</v>
      </c>
      <c r="J286" s="22">
        <f>Données_Planning!F284</f>
        <v>0</v>
      </c>
      <c r="K286" s="22">
        <f>Données_Planning!E284</f>
        <v>0</v>
      </c>
      <c r="L286" s="35">
        <f>Données_Planning!G284</f>
        <v>0</v>
      </c>
      <c r="M286" s="37">
        <f>(IF(OR(A286="DWF",A286="DNF"),0,QUOTIENT(Données_Planning!J284,60)))</f>
        <v>0</v>
      </c>
      <c r="N286" s="7" t="str">
        <f t="shared" si="39"/>
        <v>min</v>
      </c>
      <c r="O286" s="36">
        <f>(IF(OR(A286="DWF",A286="DNF"),Données_Planning!J284,MOD(Données_Planning!J284,60)))</f>
        <v>0</v>
      </c>
      <c r="P286" s="28" t="str">
        <f t="shared" si="40"/>
        <v>s</v>
      </c>
      <c r="Q286" s="37">
        <f>(IF(OR(A286="DWF",A286="DNF"),0,QUOTIENT(Données_Planning!I284,60)))</f>
        <v>0</v>
      </c>
      <c r="R286" s="7" t="str">
        <f t="shared" si="41"/>
        <v>min</v>
      </c>
      <c r="S286" s="36">
        <f>(IF(OR(A286="DWF",A286="DNF"),Données_Planning!I284,MOD(Données_Planning!I284,60)))</f>
        <v>0</v>
      </c>
      <c r="T286" s="28" t="str">
        <f t="shared" si="42"/>
        <v>s</v>
      </c>
      <c r="U286" s="37">
        <f>(IF(OR(A286="DWF",A286="DNF"),0,QUOTIENT(Données_Planning!K284,60)))</f>
        <v>0</v>
      </c>
      <c r="V286" s="7" t="str">
        <f t="shared" si="43"/>
        <v>min</v>
      </c>
      <c r="W286" s="36">
        <f>(IF(OR(A286="DWF",A286="DNF"),Données_Planning!K284,MOD(Données_Planning!K284,60)))</f>
        <v>0</v>
      </c>
      <c r="X286" s="38" t="str">
        <f t="shared" si="44"/>
        <v>s</v>
      </c>
      <c r="Y286" s="42"/>
    </row>
    <row r="287" spans="1:25" ht="15.75" x14ac:dyDescent="0.25">
      <c r="A287" s="4">
        <f>Données_Planning!A285</f>
        <v>0</v>
      </c>
      <c r="B287" s="6">
        <f>Données_Planning!B285</f>
        <v>0</v>
      </c>
      <c r="C287" s="28">
        <f>Données_Planning!C285</f>
        <v>0</v>
      </c>
      <c r="D287" s="50">
        <f t="shared" si="36"/>
        <v>0</v>
      </c>
      <c r="E287" s="51">
        <f t="shared" si="37"/>
        <v>0</v>
      </c>
      <c r="F287" s="52">
        <f t="shared" si="38"/>
        <v>0</v>
      </c>
      <c r="G287" s="47">
        <f>Données_Planning!L285</f>
        <v>0</v>
      </c>
      <c r="H287" s="18">
        <f>Données_Planning!H285</f>
        <v>0</v>
      </c>
      <c r="I287" s="5">
        <f>Données_Planning!D285</f>
        <v>0</v>
      </c>
      <c r="J287" s="22">
        <f>Données_Planning!F285</f>
        <v>0</v>
      </c>
      <c r="K287" s="22">
        <f>Données_Planning!E285</f>
        <v>0</v>
      </c>
      <c r="L287" s="35">
        <f>Données_Planning!G285</f>
        <v>0</v>
      </c>
      <c r="M287" s="37">
        <f>(IF(OR(A287="DWF",A287="DNF"),0,QUOTIENT(Données_Planning!J285,60)))</f>
        <v>0</v>
      </c>
      <c r="N287" s="7" t="str">
        <f t="shared" si="39"/>
        <v>min</v>
      </c>
      <c r="O287" s="36">
        <f>(IF(OR(A287="DWF",A287="DNF"),Données_Planning!J285,MOD(Données_Planning!J285,60)))</f>
        <v>0</v>
      </c>
      <c r="P287" s="28" t="str">
        <f t="shared" si="40"/>
        <v>s</v>
      </c>
      <c r="Q287" s="37">
        <f>(IF(OR(A287="DWF",A287="DNF"),0,QUOTIENT(Données_Planning!I285,60)))</f>
        <v>0</v>
      </c>
      <c r="R287" s="7" t="str">
        <f t="shared" si="41"/>
        <v>min</v>
      </c>
      <c r="S287" s="36">
        <f>(IF(OR(A287="DWF",A287="DNF"),Données_Planning!I285,MOD(Données_Planning!I285,60)))</f>
        <v>0</v>
      </c>
      <c r="T287" s="28" t="str">
        <f t="shared" si="42"/>
        <v>s</v>
      </c>
      <c r="U287" s="37">
        <f>(IF(OR(A287="DWF",A287="DNF"),0,QUOTIENT(Données_Planning!K285,60)))</f>
        <v>0</v>
      </c>
      <c r="V287" s="7" t="str">
        <f t="shared" si="43"/>
        <v>min</v>
      </c>
      <c r="W287" s="36">
        <f>(IF(OR(A287="DWF",A287="DNF"),Données_Planning!K285,MOD(Données_Planning!K285,60)))</f>
        <v>0</v>
      </c>
      <c r="X287" s="38" t="str">
        <f t="shared" si="44"/>
        <v>s</v>
      </c>
      <c r="Y287" s="42"/>
    </row>
    <row r="288" spans="1:25" ht="15.75" x14ac:dyDescent="0.25">
      <c r="A288" s="4">
        <f>Données_Planning!A286</f>
        <v>0</v>
      </c>
      <c r="B288" s="6">
        <f>Données_Planning!B286</f>
        <v>0</v>
      </c>
      <c r="C288" s="28">
        <f>Données_Planning!C286</f>
        <v>0</v>
      </c>
      <c r="D288" s="50">
        <f t="shared" si="36"/>
        <v>0</v>
      </c>
      <c r="E288" s="51">
        <f t="shared" si="37"/>
        <v>0</v>
      </c>
      <c r="F288" s="52">
        <f t="shared" si="38"/>
        <v>0</v>
      </c>
      <c r="G288" s="47">
        <f>Données_Planning!L286</f>
        <v>0</v>
      </c>
      <c r="H288" s="18">
        <f>Données_Planning!H286</f>
        <v>0</v>
      </c>
      <c r="I288" s="5">
        <f>Données_Planning!D286</f>
        <v>0</v>
      </c>
      <c r="J288" s="22">
        <f>Données_Planning!F286</f>
        <v>0</v>
      </c>
      <c r="K288" s="22">
        <f>Données_Planning!E286</f>
        <v>0</v>
      </c>
      <c r="L288" s="35">
        <f>Données_Planning!G286</f>
        <v>0</v>
      </c>
      <c r="M288" s="37">
        <f>(IF(OR(A288="DWF",A288="DNF"),0,QUOTIENT(Données_Planning!J286,60)))</f>
        <v>0</v>
      </c>
      <c r="N288" s="7" t="str">
        <f t="shared" si="39"/>
        <v>min</v>
      </c>
      <c r="O288" s="36">
        <f>(IF(OR(A288="DWF",A288="DNF"),Données_Planning!J286,MOD(Données_Planning!J286,60)))</f>
        <v>0</v>
      </c>
      <c r="P288" s="28" t="str">
        <f t="shared" si="40"/>
        <v>s</v>
      </c>
      <c r="Q288" s="37">
        <f>(IF(OR(A288="DWF",A288="DNF"),0,QUOTIENT(Données_Planning!I286,60)))</f>
        <v>0</v>
      </c>
      <c r="R288" s="7" t="str">
        <f t="shared" si="41"/>
        <v>min</v>
      </c>
      <c r="S288" s="36">
        <f>(IF(OR(A288="DWF",A288="DNF"),Données_Planning!I286,MOD(Données_Planning!I286,60)))</f>
        <v>0</v>
      </c>
      <c r="T288" s="28" t="str">
        <f t="shared" si="42"/>
        <v>s</v>
      </c>
      <c r="U288" s="37">
        <f>(IF(OR(A288="DWF",A288="DNF"),0,QUOTIENT(Données_Planning!K286,60)))</f>
        <v>0</v>
      </c>
      <c r="V288" s="7" t="str">
        <f t="shared" si="43"/>
        <v>min</v>
      </c>
      <c r="W288" s="36">
        <f>(IF(OR(A288="DWF",A288="DNF"),Données_Planning!K286,MOD(Données_Planning!K286,60)))</f>
        <v>0</v>
      </c>
      <c r="X288" s="38" t="str">
        <f t="shared" si="44"/>
        <v>s</v>
      </c>
      <c r="Y288" s="42"/>
    </row>
    <row r="289" spans="1:25" ht="15.75" x14ac:dyDescent="0.25">
      <c r="A289" s="4">
        <f>Données_Planning!A287</f>
        <v>0</v>
      </c>
      <c r="B289" s="6">
        <f>Données_Planning!B287</f>
        <v>0</v>
      </c>
      <c r="C289" s="28">
        <f>Données_Planning!C287</f>
        <v>0</v>
      </c>
      <c r="D289" s="50">
        <f t="shared" si="36"/>
        <v>0</v>
      </c>
      <c r="E289" s="51">
        <f t="shared" si="37"/>
        <v>0</v>
      </c>
      <c r="F289" s="52">
        <f t="shared" si="38"/>
        <v>0</v>
      </c>
      <c r="G289" s="47">
        <f>Données_Planning!L287</f>
        <v>0</v>
      </c>
      <c r="H289" s="18">
        <f>Données_Planning!H287</f>
        <v>0</v>
      </c>
      <c r="I289" s="5">
        <f>Données_Planning!D287</f>
        <v>0</v>
      </c>
      <c r="J289" s="22">
        <f>Données_Planning!F287</f>
        <v>0</v>
      </c>
      <c r="K289" s="22">
        <f>Données_Planning!E287</f>
        <v>0</v>
      </c>
      <c r="L289" s="35">
        <f>Données_Planning!G287</f>
        <v>0</v>
      </c>
      <c r="M289" s="37">
        <f>(IF(OR(A289="DWF",A289="DNF"),0,QUOTIENT(Données_Planning!J287,60)))</f>
        <v>0</v>
      </c>
      <c r="N289" s="7" t="str">
        <f t="shared" si="39"/>
        <v>min</v>
      </c>
      <c r="O289" s="36">
        <f>(IF(OR(A289="DWF",A289="DNF"),Données_Planning!J287,MOD(Données_Planning!J287,60)))</f>
        <v>0</v>
      </c>
      <c r="P289" s="28" t="str">
        <f t="shared" si="40"/>
        <v>s</v>
      </c>
      <c r="Q289" s="37">
        <f>(IF(OR(A289="DWF",A289="DNF"),0,QUOTIENT(Données_Planning!I287,60)))</f>
        <v>0</v>
      </c>
      <c r="R289" s="7" t="str">
        <f t="shared" si="41"/>
        <v>min</v>
      </c>
      <c r="S289" s="36">
        <f>(IF(OR(A289="DWF",A289="DNF"),Données_Planning!I287,MOD(Données_Planning!I287,60)))</f>
        <v>0</v>
      </c>
      <c r="T289" s="28" t="str">
        <f t="shared" si="42"/>
        <v>s</v>
      </c>
      <c r="U289" s="37">
        <f>(IF(OR(A289="DWF",A289="DNF"),0,QUOTIENT(Données_Planning!K287,60)))</f>
        <v>0</v>
      </c>
      <c r="V289" s="7" t="str">
        <f t="shared" si="43"/>
        <v>min</v>
      </c>
      <c r="W289" s="36">
        <f>(IF(OR(A289="DWF",A289="DNF"),Données_Planning!K287,MOD(Données_Planning!K287,60)))</f>
        <v>0</v>
      </c>
      <c r="X289" s="38" t="str">
        <f t="shared" si="44"/>
        <v>s</v>
      </c>
      <c r="Y289" s="42"/>
    </row>
    <row r="290" spans="1:25" ht="15.75" x14ac:dyDescent="0.25">
      <c r="A290" s="4">
        <f>Données_Planning!A288</f>
        <v>0</v>
      </c>
      <c r="B290" s="6">
        <f>Données_Planning!B288</f>
        <v>0</v>
      </c>
      <c r="C290" s="28">
        <f>Données_Planning!C288</f>
        <v>0</v>
      </c>
      <c r="D290" s="50">
        <f t="shared" si="36"/>
        <v>0</v>
      </c>
      <c r="E290" s="51">
        <f t="shared" si="37"/>
        <v>0</v>
      </c>
      <c r="F290" s="52">
        <f t="shared" si="38"/>
        <v>0</v>
      </c>
      <c r="G290" s="47">
        <f>Données_Planning!L288</f>
        <v>0</v>
      </c>
      <c r="H290" s="18">
        <f>Données_Planning!H288</f>
        <v>0</v>
      </c>
      <c r="I290" s="5">
        <f>Données_Planning!D288</f>
        <v>0</v>
      </c>
      <c r="J290" s="22">
        <f>Données_Planning!F288</f>
        <v>0</v>
      </c>
      <c r="K290" s="22">
        <f>Données_Planning!E288</f>
        <v>0</v>
      </c>
      <c r="L290" s="35">
        <f>Données_Planning!G288</f>
        <v>0</v>
      </c>
      <c r="M290" s="37">
        <f>(IF(OR(A290="DWF",A290="DNF"),0,QUOTIENT(Données_Planning!J288,60)))</f>
        <v>0</v>
      </c>
      <c r="N290" s="7" t="str">
        <f t="shared" si="39"/>
        <v>min</v>
      </c>
      <c r="O290" s="36">
        <f>(IF(OR(A290="DWF",A290="DNF"),Données_Planning!J288,MOD(Données_Planning!J288,60)))</f>
        <v>0</v>
      </c>
      <c r="P290" s="28" t="str">
        <f t="shared" si="40"/>
        <v>s</v>
      </c>
      <c r="Q290" s="37">
        <f>(IF(OR(A290="DWF",A290="DNF"),0,QUOTIENT(Données_Planning!I288,60)))</f>
        <v>0</v>
      </c>
      <c r="R290" s="7" t="str">
        <f t="shared" si="41"/>
        <v>min</v>
      </c>
      <c r="S290" s="36">
        <f>(IF(OR(A290="DWF",A290="DNF"),Données_Planning!I288,MOD(Données_Planning!I288,60)))</f>
        <v>0</v>
      </c>
      <c r="T290" s="28" t="str">
        <f t="shared" si="42"/>
        <v>s</v>
      </c>
      <c r="U290" s="37">
        <f>(IF(OR(A290="DWF",A290="DNF"),0,QUOTIENT(Données_Planning!K288,60)))</f>
        <v>0</v>
      </c>
      <c r="V290" s="7" t="str">
        <f t="shared" si="43"/>
        <v>min</v>
      </c>
      <c r="W290" s="36">
        <f>(IF(OR(A290="DWF",A290="DNF"),Données_Planning!K288,MOD(Données_Planning!K288,60)))</f>
        <v>0</v>
      </c>
      <c r="X290" s="38" t="str">
        <f t="shared" si="44"/>
        <v>s</v>
      </c>
      <c r="Y290" s="42"/>
    </row>
    <row r="291" spans="1:25" ht="15.75" x14ac:dyDescent="0.25">
      <c r="A291" s="4">
        <f>Données_Planning!A289</f>
        <v>0</v>
      </c>
      <c r="B291" s="6">
        <f>Données_Planning!B289</f>
        <v>0</v>
      </c>
      <c r="C291" s="28">
        <f>Données_Planning!C289</f>
        <v>0</v>
      </c>
      <c r="D291" s="50">
        <f t="shared" si="36"/>
        <v>0</v>
      </c>
      <c r="E291" s="51">
        <f t="shared" si="37"/>
        <v>0</v>
      </c>
      <c r="F291" s="52">
        <f t="shared" si="38"/>
        <v>0</v>
      </c>
      <c r="G291" s="47">
        <f>Données_Planning!L289</f>
        <v>0</v>
      </c>
      <c r="H291" s="18">
        <f>Données_Planning!H289</f>
        <v>0</v>
      </c>
      <c r="I291" s="5">
        <f>Données_Planning!D289</f>
        <v>0</v>
      </c>
      <c r="J291" s="22">
        <f>Données_Planning!F289</f>
        <v>0</v>
      </c>
      <c r="K291" s="22">
        <f>Données_Planning!E289</f>
        <v>0</v>
      </c>
      <c r="L291" s="35">
        <f>Données_Planning!G289</f>
        <v>0</v>
      </c>
      <c r="M291" s="37">
        <f>(IF(OR(A291="DWF",A291="DNF"),0,QUOTIENT(Données_Planning!J289,60)))</f>
        <v>0</v>
      </c>
      <c r="N291" s="7" t="str">
        <f t="shared" si="39"/>
        <v>min</v>
      </c>
      <c r="O291" s="36">
        <f>(IF(OR(A291="DWF",A291="DNF"),Données_Planning!J289,MOD(Données_Planning!J289,60)))</f>
        <v>0</v>
      </c>
      <c r="P291" s="28" t="str">
        <f t="shared" si="40"/>
        <v>s</v>
      </c>
      <c r="Q291" s="37">
        <f>(IF(OR(A291="DWF",A291="DNF"),0,QUOTIENT(Données_Planning!I289,60)))</f>
        <v>0</v>
      </c>
      <c r="R291" s="7" t="str">
        <f t="shared" si="41"/>
        <v>min</v>
      </c>
      <c r="S291" s="36">
        <f>(IF(OR(A291="DWF",A291="DNF"),Données_Planning!I289,MOD(Données_Planning!I289,60)))</f>
        <v>0</v>
      </c>
      <c r="T291" s="28" t="str">
        <f t="shared" si="42"/>
        <v>s</v>
      </c>
      <c r="U291" s="37">
        <f>(IF(OR(A291="DWF",A291="DNF"),0,QUOTIENT(Données_Planning!K289,60)))</f>
        <v>0</v>
      </c>
      <c r="V291" s="7" t="str">
        <f t="shared" si="43"/>
        <v>min</v>
      </c>
      <c r="W291" s="36">
        <f>(IF(OR(A291="DWF",A291="DNF"),Données_Planning!K289,MOD(Données_Planning!K289,60)))</f>
        <v>0</v>
      </c>
      <c r="X291" s="38" t="str">
        <f t="shared" si="44"/>
        <v>s</v>
      </c>
      <c r="Y291" s="42"/>
    </row>
    <row r="292" spans="1:25" ht="15.75" x14ac:dyDescent="0.25">
      <c r="A292" s="4">
        <f>Données_Planning!A290</f>
        <v>0</v>
      </c>
      <c r="B292" s="6">
        <f>Données_Planning!B290</f>
        <v>0</v>
      </c>
      <c r="C292" s="28">
        <f>Données_Planning!C290</f>
        <v>0</v>
      </c>
      <c r="D292" s="50">
        <f t="shared" si="36"/>
        <v>0</v>
      </c>
      <c r="E292" s="51">
        <f t="shared" si="37"/>
        <v>0</v>
      </c>
      <c r="F292" s="52">
        <f t="shared" si="38"/>
        <v>0</v>
      </c>
      <c r="G292" s="47">
        <f>Données_Planning!L290</f>
        <v>0</v>
      </c>
      <c r="H292" s="18">
        <f>Données_Planning!H290</f>
        <v>0</v>
      </c>
      <c r="I292" s="5">
        <f>Données_Planning!D290</f>
        <v>0</v>
      </c>
      <c r="J292" s="22">
        <f>Données_Planning!F290</f>
        <v>0</v>
      </c>
      <c r="K292" s="22">
        <f>Données_Planning!E290</f>
        <v>0</v>
      </c>
      <c r="L292" s="35">
        <f>Données_Planning!G290</f>
        <v>0</v>
      </c>
      <c r="M292" s="37">
        <f>(IF(OR(A292="DWF",A292="DNF"),0,QUOTIENT(Données_Planning!J290,60)))</f>
        <v>0</v>
      </c>
      <c r="N292" s="7" t="str">
        <f t="shared" si="39"/>
        <v>min</v>
      </c>
      <c r="O292" s="36">
        <f>(IF(OR(A292="DWF",A292="DNF"),Données_Planning!J290,MOD(Données_Planning!J290,60)))</f>
        <v>0</v>
      </c>
      <c r="P292" s="28" t="str">
        <f t="shared" si="40"/>
        <v>s</v>
      </c>
      <c r="Q292" s="37">
        <f>(IF(OR(A292="DWF",A292="DNF"),0,QUOTIENT(Données_Planning!I290,60)))</f>
        <v>0</v>
      </c>
      <c r="R292" s="7" t="str">
        <f t="shared" si="41"/>
        <v>min</v>
      </c>
      <c r="S292" s="36">
        <f>(IF(OR(A292="DWF",A292="DNF"),Données_Planning!I290,MOD(Données_Planning!I290,60)))</f>
        <v>0</v>
      </c>
      <c r="T292" s="28" t="str">
        <f t="shared" si="42"/>
        <v>s</v>
      </c>
      <c r="U292" s="37">
        <f>(IF(OR(A292="DWF",A292="DNF"),0,QUOTIENT(Données_Planning!K290,60)))</f>
        <v>0</v>
      </c>
      <c r="V292" s="7" t="str">
        <f t="shared" si="43"/>
        <v>min</v>
      </c>
      <c r="W292" s="36">
        <f>(IF(OR(A292="DWF",A292="DNF"),Données_Planning!K290,MOD(Données_Planning!K290,60)))</f>
        <v>0</v>
      </c>
      <c r="X292" s="38" t="str">
        <f t="shared" si="44"/>
        <v>s</v>
      </c>
      <c r="Y292" s="42"/>
    </row>
    <row r="293" spans="1:25" ht="15.75" x14ac:dyDescent="0.25">
      <c r="A293" s="4">
        <f>Données_Planning!A291</f>
        <v>0</v>
      </c>
      <c r="B293" s="6">
        <f>Données_Planning!B291</f>
        <v>0</v>
      </c>
      <c r="C293" s="28">
        <f>Données_Planning!C291</f>
        <v>0</v>
      </c>
      <c r="D293" s="50">
        <f t="shared" si="36"/>
        <v>0</v>
      </c>
      <c r="E293" s="51">
        <f t="shared" si="37"/>
        <v>0</v>
      </c>
      <c r="F293" s="52">
        <f t="shared" si="38"/>
        <v>0</v>
      </c>
      <c r="G293" s="47">
        <f>Données_Planning!L291</f>
        <v>0</v>
      </c>
      <c r="H293" s="18">
        <f>Données_Planning!H291</f>
        <v>0</v>
      </c>
      <c r="I293" s="5">
        <f>Données_Planning!D291</f>
        <v>0</v>
      </c>
      <c r="J293" s="22">
        <f>Données_Planning!F291</f>
        <v>0</v>
      </c>
      <c r="K293" s="22">
        <f>Données_Planning!E291</f>
        <v>0</v>
      </c>
      <c r="L293" s="35">
        <f>Données_Planning!G291</f>
        <v>0</v>
      </c>
      <c r="M293" s="37">
        <f>(IF(OR(A293="DWF",A293="DNF"),0,QUOTIENT(Données_Planning!J291,60)))</f>
        <v>0</v>
      </c>
      <c r="N293" s="7" t="str">
        <f t="shared" si="39"/>
        <v>min</v>
      </c>
      <c r="O293" s="36">
        <f>(IF(OR(A293="DWF",A293="DNF"),Données_Planning!J291,MOD(Données_Planning!J291,60)))</f>
        <v>0</v>
      </c>
      <c r="P293" s="28" t="str">
        <f t="shared" si="40"/>
        <v>s</v>
      </c>
      <c r="Q293" s="37">
        <f>(IF(OR(A293="DWF",A293="DNF"),0,QUOTIENT(Données_Planning!I291,60)))</f>
        <v>0</v>
      </c>
      <c r="R293" s="7" t="str">
        <f t="shared" si="41"/>
        <v>min</v>
      </c>
      <c r="S293" s="36">
        <f>(IF(OR(A293="DWF",A293="DNF"),Données_Planning!I291,MOD(Données_Planning!I291,60)))</f>
        <v>0</v>
      </c>
      <c r="T293" s="28" t="str">
        <f t="shared" si="42"/>
        <v>s</v>
      </c>
      <c r="U293" s="37">
        <f>(IF(OR(A293="DWF",A293="DNF"),0,QUOTIENT(Données_Planning!K291,60)))</f>
        <v>0</v>
      </c>
      <c r="V293" s="7" t="str">
        <f t="shared" si="43"/>
        <v>min</v>
      </c>
      <c r="W293" s="36">
        <f>(IF(OR(A293="DWF",A293="DNF"),Données_Planning!K291,MOD(Données_Planning!K291,60)))</f>
        <v>0</v>
      </c>
      <c r="X293" s="38" t="str">
        <f t="shared" si="44"/>
        <v>s</v>
      </c>
      <c r="Y293" s="42"/>
    </row>
    <row r="294" spans="1:25" ht="15.75" x14ac:dyDescent="0.25">
      <c r="A294" s="4">
        <f>Données_Planning!A292</f>
        <v>0</v>
      </c>
      <c r="B294" s="6">
        <f>Données_Planning!B292</f>
        <v>0</v>
      </c>
      <c r="C294" s="28">
        <f>Données_Planning!C292</f>
        <v>0</v>
      </c>
      <c r="D294" s="50">
        <f t="shared" si="36"/>
        <v>0</v>
      </c>
      <c r="E294" s="51">
        <f t="shared" si="37"/>
        <v>0</v>
      </c>
      <c r="F294" s="52">
        <f t="shared" si="38"/>
        <v>0</v>
      </c>
      <c r="G294" s="47">
        <f>Données_Planning!L292</f>
        <v>0</v>
      </c>
      <c r="H294" s="18">
        <f>Données_Planning!H292</f>
        <v>0</v>
      </c>
      <c r="I294" s="5">
        <f>Données_Planning!D292</f>
        <v>0</v>
      </c>
      <c r="J294" s="22">
        <f>Données_Planning!F292</f>
        <v>0</v>
      </c>
      <c r="K294" s="22">
        <f>Données_Planning!E292</f>
        <v>0</v>
      </c>
      <c r="L294" s="35">
        <f>Données_Planning!G292</f>
        <v>0</v>
      </c>
      <c r="M294" s="37">
        <f>(IF(OR(A294="DWF",A294="DNF"),0,QUOTIENT(Données_Planning!J292,60)))</f>
        <v>0</v>
      </c>
      <c r="N294" s="7" t="str">
        <f t="shared" si="39"/>
        <v>min</v>
      </c>
      <c r="O294" s="36">
        <f>(IF(OR(A294="DWF",A294="DNF"),Données_Planning!J292,MOD(Données_Planning!J292,60)))</f>
        <v>0</v>
      </c>
      <c r="P294" s="28" t="str">
        <f t="shared" si="40"/>
        <v>s</v>
      </c>
      <c r="Q294" s="37">
        <f>(IF(OR(A294="DWF",A294="DNF"),0,QUOTIENT(Données_Planning!I292,60)))</f>
        <v>0</v>
      </c>
      <c r="R294" s="7" t="str">
        <f t="shared" si="41"/>
        <v>min</v>
      </c>
      <c r="S294" s="36">
        <f>(IF(OR(A294="DWF",A294="DNF"),Données_Planning!I292,MOD(Données_Planning!I292,60)))</f>
        <v>0</v>
      </c>
      <c r="T294" s="28" t="str">
        <f t="shared" si="42"/>
        <v>s</v>
      </c>
      <c r="U294" s="37">
        <f>(IF(OR(A294="DWF",A294="DNF"),0,QUOTIENT(Données_Planning!K292,60)))</f>
        <v>0</v>
      </c>
      <c r="V294" s="7" t="str">
        <f t="shared" si="43"/>
        <v>min</v>
      </c>
      <c r="W294" s="36">
        <f>(IF(OR(A294="DWF",A294="DNF"),Données_Planning!K292,MOD(Données_Planning!K292,60)))</f>
        <v>0</v>
      </c>
      <c r="X294" s="38" t="str">
        <f t="shared" si="44"/>
        <v>s</v>
      </c>
      <c r="Y294" s="42"/>
    </row>
    <row r="295" spans="1:25" ht="15.75" x14ac:dyDescent="0.25">
      <c r="A295" s="4">
        <f>Données_Planning!A293</f>
        <v>0</v>
      </c>
      <c r="B295" s="6">
        <f>Données_Planning!B293</f>
        <v>0</v>
      </c>
      <c r="C295" s="28">
        <f>Données_Planning!C293</f>
        <v>0</v>
      </c>
      <c r="D295" s="50">
        <f t="shared" si="36"/>
        <v>0</v>
      </c>
      <c r="E295" s="51">
        <f t="shared" si="37"/>
        <v>0</v>
      </c>
      <c r="F295" s="52">
        <f t="shared" si="38"/>
        <v>0</v>
      </c>
      <c r="G295" s="47">
        <f>Données_Planning!L293</f>
        <v>0</v>
      </c>
      <c r="H295" s="18">
        <f>Données_Planning!H293</f>
        <v>0</v>
      </c>
      <c r="I295" s="5">
        <f>Données_Planning!D293</f>
        <v>0</v>
      </c>
      <c r="J295" s="22">
        <f>Données_Planning!F293</f>
        <v>0</v>
      </c>
      <c r="K295" s="22">
        <f>Données_Planning!E293</f>
        <v>0</v>
      </c>
      <c r="L295" s="35">
        <f>Données_Planning!G293</f>
        <v>0</v>
      </c>
      <c r="M295" s="37">
        <f>(IF(OR(A295="DWF",A295="DNF"),0,QUOTIENT(Données_Planning!J293,60)))</f>
        <v>0</v>
      </c>
      <c r="N295" s="7" t="str">
        <f t="shared" si="39"/>
        <v>min</v>
      </c>
      <c r="O295" s="36">
        <f>(IF(OR(A295="DWF",A295="DNF"),Données_Planning!J293,MOD(Données_Planning!J293,60)))</f>
        <v>0</v>
      </c>
      <c r="P295" s="28" t="str">
        <f t="shared" si="40"/>
        <v>s</v>
      </c>
      <c r="Q295" s="37">
        <f>(IF(OR(A295="DWF",A295="DNF"),0,QUOTIENT(Données_Planning!I293,60)))</f>
        <v>0</v>
      </c>
      <c r="R295" s="7" t="str">
        <f t="shared" si="41"/>
        <v>min</v>
      </c>
      <c r="S295" s="36">
        <f>(IF(OR(A295="DWF",A295="DNF"),Données_Planning!I293,MOD(Données_Planning!I293,60)))</f>
        <v>0</v>
      </c>
      <c r="T295" s="28" t="str">
        <f t="shared" si="42"/>
        <v>s</v>
      </c>
      <c r="U295" s="37">
        <f>(IF(OR(A295="DWF",A295="DNF"),0,QUOTIENT(Données_Planning!K293,60)))</f>
        <v>0</v>
      </c>
      <c r="V295" s="7" t="str">
        <f t="shared" si="43"/>
        <v>min</v>
      </c>
      <c r="W295" s="36">
        <f>(IF(OR(A295="DWF",A295="DNF"),Données_Planning!K293,MOD(Données_Planning!K293,60)))</f>
        <v>0</v>
      </c>
      <c r="X295" s="38" t="str">
        <f t="shared" si="44"/>
        <v>s</v>
      </c>
      <c r="Y295" s="42"/>
    </row>
    <row r="296" spans="1:25" ht="15.75" x14ac:dyDescent="0.25">
      <c r="A296" s="4">
        <f>Données_Planning!A294</f>
        <v>0</v>
      </c>
      <c r="B296" s="6">
        <f>Données_Planning!B294</f>
        <v>0</v>
      </c>
      <c r="C296" s="28">
        <f>Données_Planning!C294</f>
        <v>0</v>
      </c>
      <c r="D296" s="50">
        <f t="shared" si="36"/>
        <v>0</v>
      </c>
      <c r="E296" s="51">
        <f t="shared" si="37"/>
        <v>0</v>
      </c>
      <c r="F296" s="52">
        <f t="shared" si="38"/>
        <v>0</v>
      </c>
      <c r="G296" s="47">
        <f>Données_Planning!L294</f>
        <v>0</v>
      </c>
      <c r="H296" s="18">
        <f>Données_Planning!H294</f>
        <v>0</v>
      </c>
      <c r="I296" s="5">
        <f>Données_Planning!D294</f>
        <v>0</v>
      </c>
      <c r="J296" s="22">
        <f>Données_Planning!F294</f>
        <v>0</v>
      </c>
      <c r="K296" s="22">
        <f>Données_Planning!E294</f>
        <v>0</v>
      </c>
      <c r="L296" s="35">
        <f>Données_Planning!G294</f>
        <v>0</v>
      </c>
      <c r="M296" s="37">
        <f>(IF(OR(A296="DWF",A296="DNF"),0,QUOTIENT(Données_Planning!J294,60)))</f>
        <v>0</v>
      </c>
      <c r="N296" s="7" t="str">
        <f t="shared" si="39"/>
        <v>min</v>
      </c>
      <c r="O296" s="36">
        <f>(IF(OR(A296="DWF",A296="DNF"),Données_Planning!J294,MOD(Données_Planning!J294,60)))</f>
        <v>0</v>
      </c>
      <c r="P296" s="28" t="str">
        <f t="shared" si="40"/>
        <v>s</v>
      </c>
      <c r="Q296" s="37">
        <f>(IF(OR(A296="DWF",A296="DNF"),0,QUOTIENT(Données_Planning!I294,60)))</f>
        <v>0</v>
      </c>
      <c r="R296" s="7" t="str">
        <f t="shared" si="41"/>
        <v>min</v>
      </c>
      <c r="S296" s="36">
        <f>(IF(OR(A296="DWF",A296="DNF"),Données_Planning!I294,MOD(Données_Planning!I294,60)))</f>
        <v>0</v>
      </c>
      <c r="T296" s="28" t="str">
        <f t="shared" si="42"/>
        <v>s</v>
      </c>
      <c r="U296" s="37">
        <f>(IF(OR(A296="DWF",A296="DNF"),0,QUOTIENT(Données_Planning!K294,60)))</f>
        <v>0</v>
      </c>
      <c r="V296" s="7" t="str">
        <f t="shared" si="43"/>
        <v>min</v>
      </c>
      <c r="W296" s="36">
        <f>(IF(OR(A296="DWF",A296="DNF"),Données_Planning!K294,MOD(Données_Planning!K294,60)))</f>
        <v>0</v>
      </c>
      <c r="X296" s="38" t="str">
        <f t="shared" si="44"/>
        <v>s</v>
      </c>
      <c r="Y296" s="42"/>
    </row>
    <row r="297" spans="1:25" ht="15.75" x14ac:dyDescent="0.25">
      <c r="A297" s="4">
        <f>Données_Planning!A295</f>
        <v>0</v>
      </c>
      <c r="B297" s="6">
        <f>Données_Planning!B295</f>
        <v>0</v>
      </c>
      <c r="C297" s="28">
        <f>Données_Planning!C295</f>
        <v>0</v>
      </c>
      <c r="D297" s="50">
        <f t="shared" si="36"/>
        <v>0</v>
      </c>
      <c r="E297" s="51">
        <f t="shared" si="37"/>
        <v>0</v>
      </c>
      <c r="F297" s="52">
        <f t="shared" si="38"/>
        <v>0</v>
      </c>
      <c r="G297" s="47">
        <f>Données_Planning!L295</f>
        <v>0</v>
      </c>
      <c r="H297" s="18">
        <f>Données_Planning!H295</f>
        <v>0</v>
      </c>
      <c r="I297" s="5">
        <f>Données_Planning!D295</f>
        <v>0</v>
      </c>
      <c r="J297" s="22">
        <f>Données_Planning!F295</f>
        <v>0</v>
      </c>
      <c r="K297" s="22">
        <f>Données_Planning!E295</f>
        <v>0</v>
      </c>
      <c r="L297" s="35">
        <f>Données_Planning!G295</f>
        <v>0</v>
      </c>
      <c r="M297" s="37">
        <f>(IF(OR(A297="DWF",A297="DNF"),0,QUOTIENT(Données_Planning!J295,60)))</f>
        <v>0</v>
      </c>
      <c r="N297" s="7" t="str">
        <f t="shared" si="39"/>
        <v>min</v>
      </c>
      <c r="O297" s="36">
        <f>(IF(OR(A297="DWF",A297="DNF"),Données_Planning!J295,MOD(Données_Planning!J295,60)))</f>
        <v>0</v>
      </c>
      <c r="P297" s="28" t="str">
        <f t="shared" si="40"/>
        <v>s</v>
      </c>
      <c r="Q297" s="37">
        <f>(IF(OR(A297="DWF",A297="DNF"),0,QUOTIENT(Données_Planning!I295,60)))</f>
        <v>0</v>
      </c>
      <c r="R297" s="7" t="str">
        <f t="shared" si="41"/>
        <v>min</v>
      </c>
      <c r="S297" s="36">
        <f>(IF(OR(A297="DWF",A297="DNF"),Données_Planning!I295,MOD(Données_Planning!I295,60)))</f>
        <v>0</v>
      </c>
      <c r="T297" s="28" t="str">
        <f t="shared" si="42"/>
        <v>s</v>
      </c>
      <c r="U297" s="37">
        <f>(IF(OR(A297="DWF",A297="DNF"),0,QUOTIENT(Données_Planning!K295,60)))</f>
        <v>0</v>
      </c>
      <c r="V297" s="7" t="str">
        <f t="shared" si="43"/>
        <v>min</v>
      </c>
      <c r="W297" s="36">
        <f>(IF(OR(A297="DWF",A297="DNF"),Données_Planning!K295,MOD(Données_Planning!K295,60)))</f>
        <v>0</v>
      </c>
      <c r="X297" s="38" t="str">
        <f t="shared" si="44"/>
        <v>s</v>
      </c>
      <c r="Y297" s="42"/>
    </row>
    <row r="298" spans="1:25" ht="15.75" x14ac:dyDescent="0.25">
      <c r="A298" s="4">
        <f>Données_Planning!A296</f>
        <v>0</v>
      </c>
      <c r="B298" s="6">
        <f>Données_Planning!B296</f>
        <v>0</v>
      </c>
      <c r="C298" s="28">
        <f>Données_Planning!C296</f>
        <v>0</v>
      </c>
      <c r="D298" s="50">
        <f t="shared" si="36"/>
        <v>0</v>
      </c>
      <c r="E298" s="51">
        <f t="shared" si="37"/>
        <v>0</v>
      </c>
      <c r="F298" s="52">
        <f t="shared" si="38"/>
        <v>0</v>
      </c>
      <c r="G298" s="47">
        <f>Données_Planning!L296</f>
        <v>0</v>
      </c>
      <c r="H298" s="18">
        <f>Données_Planning!H296</f>
        <v>0</v>
      </c>
      <c r="I298" s="5">
        <f>Données_Planning!D296</f>
        <v>0</v>
      </c>
      <c r="J298" s="22">
        <f>Données_Planning!F296</f>
        <v>0</v>
      </c>
      <c r="K298" s="22">
        <f>Données_Planning!E296</f>
        <v>0</v>
      </c>
      <c r="L298" s="35">
        <f>Données_Planning!G296</f>
        <v>0</v>
      </c>
      <c r="M298" s="37">
        <f>(IF(OR(A298="DWF",A298="DNF"),0,QUOTIENT(Données_Planning!J296,60)))</f>
        <v>0</v>
      </c>
      <c r="N298" s="7" t="str">
        <f t="shared" si="39"/>
        <v>min</v>
      </c>
      <c r="O298" s="36">
        <f>(IF(OR(A298="DWF",A298="DNF"),Données_Planning!J296,MOD(Données_Planning!J296,60)))</f>
        <v>0</v>
      </c>
      <c r="P298" s="28" t="str">
        <f t="shared" si="40"/>
        <v>s</v>
      </c>
      <c r="Q298" s="37">
        <f>(IF(OR(A298="DWF",A298="DNF"),0,QUOTIENT(Données_Planning!I296,60)))</f>
        <v>0</v>
      </c>
      <c r="R298" s="7" t="str">
        <f t="shared" si="41"/>
        <v>min</v>
      </c>
      <c r="S298" s="36">
        <f>(IF(OR(A298="DWF",A298="DNF"),Données_Planning!I296,MOD(Données_Planning!I296,60)))</f>
        <v>0</v>
      </c>
      <c r="T298" s="28" t="str">
        <f t="shared" si="42"/>
        <v>s</v>
      </c>
      <c r="U298" s="37">
        <f>(IF(OR(A298="DWF",A298="DNF"),0,QUOTIENT(Données_Planning!K296,60)))</f>
        <v>0</v>
      </c>
      <c r="V298" s="7" t="str">
        <f t="shared" si="43"/>
        <v>min</v>
      </c>
      <c r="W298" s="36">
        <f>(IF(OR(A298="DWF",A298="DNF"),Données_Planning!K296,MOD(Données_Planning!K296,60)))</f>
        <v>0</v>
      </c>
      <c r="X298" s="38" t="str">
        <f t="shared" si="44"/>
        <v>s</v>
      </c>
      <c r="Y298" s="42"/>
    </row>
    <row r="299" spans="1:25" ht="15.75" x14ac:dyDescent="0.25">
      <c r="A299" s="4">
        <f>Données_Planning!A297</f>
        <v>0</v>
      </c>
      <c r="B299" s="6">
        <f>Données_Planning!B297</f>
        <v>0</v>
      </c>
      <c r="C299" s="28">
        <f>Données_Planning!C297</f>
        <v>0</v>
      </c>
      <c r="D299" s="50">
        <f t="shared" si="36"/>
        <v>0</v>
      </c>
      <c r="E299" s="51">
        <f t="shared" si="37"/>
        <v>0</v>
      </c>
      <c r="F299" s="52">
        <f t="shared" si="38"/>
        <v>0</v>
      </c>
      <c r="G299" s="47">
        <f>Données_Planning!L297</f>
        <v>0</v>
      </c>
      <c r="H299" s="18">
        <f>Données_Planning!H297</f>
        <v>0</v>
      </c>
      <c r="I299" s="5">
        <f>Données_Planning!D297</f>
        <v>0</v>
      </c>
      <c r="J299" s="22">
        <f>Données_Planning!F297</f>
        <v>0</v>
      </c>
      <c r="K299" s="22">
        <f>Données_Planning!E297</f>
        <v>0</v>
      </c>
      <c r="L299" s="35">
        <f>Données_Planning!G297</f>
        <v>0</v>
      </c>
      <c r="M299" s="37">
        <f>(IF(OR(A299="DWF",A299="DNF"),0,QUOTIENT(Données_Planning!J297,60)))</f>
        <v>0</v>
      </c>
      <c r="N299" s="7" t="str">
        <f t="shared" si="39"/>
        <v>min</v>
      </c>
      <c r="O299" s="36">
        <f>(IF(OR(A299="DWF",A299="DNF"),Données_Planning!J297,MOD(Données_Planning!J297,60)))</f>
        <v>0</v>
      </c>
      <c r="P299" s="28" t="str">
        <f t="shared" si="40"/>
        <v>s</v>
      </c>
      <c r="Q299" s="37">
        <f>(IF(OR(A299="DWF",A299="DNF"),0,QUOTIENT(Données_Planning!I297,60)))</f>
        <v>0</v>
      </c>
      <c r="R299" s="7" t="str">
        <f t="shared" si="41"/>
        <v>min</v>
      </c>
      <c r="S299" s="36">
        <f>(IF(OR(A299="DWF",A299="DNF"),Données_Planning!I297,MOD(Données_Planning!I297,60)))</f>
        <v>0</v>
      </c>
      <c r="T299" s="28" t="str">
        <f t="shared" si="42"/>
        <v>s</v>
      </c>
      <c r="U299" s="37">
        <f>(IF(OR(A299="DWF",A299="DNF"),0,QUOTIENT(Données_Planning!K297,60)))</f>
        <v>0</v>
      </c>
      <c r="V299" s="7" t="str">
        <f t="shared" si="43"/>
        <v>min</v>
      </c>
      <c r="W299" s="36">
        <f>(IF(OR(A299="DWF",A299="DNF"),Données_Planning!K297,MOD(Données_Planning!K297,60)))</f>
        <v>0</v>
      </c>
      <c r="X299" s="38" t="str">
        <f t="shared" si="44"/>
        <v>s</v>
      </c>
      <c r="Y299" s="42"/>
    </row>
    <row r="300" spans="1:25" ht="15.75" x14ac:dyDescent="0.25">
      <c r="A300" s="4">
        <f>Données_Planning!A298</f>
        <v>0</v>
      </c>
      <c r="B300" s="6">
        <f>Données_Planning!B298</f>
        <v>0</v>
      </c>
      <c r="C300" s="28">
        <f>Données_Planning!C298</f>
        <v>0</v>
      </c>
      <c r="D300" s="50">
        <f t="shared" si="36"/>
        <v>0</v>
      </c>
      <c r="E300" s="51">
        <f t="shared" si="37"/>
        <v>0</v>
      </c>
      <c r="F300" s="52">
        <f t="shared" si="38"/>
        <v>0</v>
      </c>
      <c r="G300" s="47">
        <f>Données_Planning!L298</f>
        <v>0</v>
      </c>
      <c r="H300" s="18">
        <f>Données_Planning!H298</f>
        <v>0</v>
      </c>
      <c r="I300" s="5">
        <f>Données_Planning!D298</f>
        <v>0</v>
      </c>
      <c r="J300" s="22">
        <f>Données_Planning!F298</f>
        <v>0</v>
      </c>
      <c r="K300" s="22">
        <f>Données_Planning!E298</f>
        <v>0</v>
      </c>
      <c r="L300" s="35">
        <f>Données_Planning!G298</f>
        <v>0</v>
      </c>
      <c r="M300" s="37">
        <f>(IF(OR(A300="DWF",A300="DNF"),0,QUOTIENT(Données_Planning!J298,60)))</f>
        <v>0</v>
      </c>
      <c r="N300" s="7" t="str">
        <f t="shared" si="39"/>
        <v>min</v>
      </c>
      <c r="O300" s="36">
        <f>(IF(OR(A300="DWF",A300="DNF"),Données_Planning!J298,MOD(Données_Planning!J298,60)))</f>
        <v>0</v>
      </c>
      <c r="P300" s="28" t="str">
        <f t="shared" si="40"/>
        <v>s</v>
      </c>
      <c r="Q300" s="37">
        <f>(IF(OR(A300="DWF",A300="DNF"),0,QUOTIENT(Données_Planning!I298,60)))</f>
        <v>0</v>
      </c>
      <c r="R300" s="7" t="str">
        <f t="shared" si="41"/>
        <v>min</v>
      </c>
      <c r="S300" s="36">
        <f>(IF(OR(A300="DWF",A300="DNF"),Données_Planning!I298,MOD(Données_Planning!I298,60)))</f>
        <v>0</v>
      </c>
      <c r="T300" s="28" t="str">
        <f t="shared" si="42"/>
        <v>s</v>
      </c>
      <c r="U300" s="37">
        <f>(IF(OR(A300="DWF",A300="DNF"),0,QUOTIENT(Données_Planning!K298,60)))</f>
        <v>0</v>
      </c>
      <c r="V300" s="7" t="str">
        <f t="shared" si="43"/>
        <v>min</v>
      </c>
      <c r="W300" s="36">
        <f>(IF(OR(A300="DWF",A300="DNF"),Données_Planning!K298,MOD(Données_Planning!K298,60)))</f>
        <v>0</v>
      </c>
      <c r="X300" s="38" t="str">
        <f t="shared" si="44"/>
        <v>s</v>
      </c>
      <c r="Y300" s="42"/>
    </row>
    <row r="301" spans="1:25" ht="15.75" x14ac:dyDescent="0.25">
      <c r="A301" s="4">
        <f>Données_Planning!A299</f>
        <v>0</v>
      </c>
      <c r="B301" s="6">
        <f>Données_Planning!B299</f>
        <v>0</v>
      </c>
      <c r="C301" s="28">
        <f>Données_Planning!C299</f>
        <v>0</v>
      </c>
      <c r="D301" s="50">
        <f t="shared" si="36"/>
        <v>0</v>
      </c>
      <c r="E301" s="51">
        <f t="shared" si="37"/>
        <v>0</v>
      </c>
      <c r="F301" s="52">
        <f t="shared" si="38"/>
        <v>0</v>
      </c>
      <c r="G301" s="47">
        <f>Données_Planning!L299</f>
        <v>0</v>
      </c>
      <c r="H301" s="18">
        <f>Données_Planning!H299</f>
        <v>0</v>
      </c>
      <c r="I301" s="5">
        <f>Données_Planning!D299</f>
        <v>0</v>
      </c>
      <c r="J301" s="22">
        <f>Données_Planning!F299</f>
        <v>0</v>
      </c>
      <c r="K301" s="22">
        <f>Données_Planning!E299</f>
        <v>0</v>
      </c>
      <c r="L301" s="35">
        <f>Données_Planning!G299</f>
        <v>0</v>
      </c>
      <c r="M301" s="37">
        <f>(IF(OR(A301="DWF",A301="DNF"),0,QUOTIENT(Données_Planning!J299,60)))</f>
        <v>0</v>
      </c>
      <c r="N301" s="7" t="str">
        <f t="shared" si="39"/>
        <v>min</v>
      </c>
      <c r="O301" s="36">
        <f>(IF(OR(A301="DWF",A301="DNF"),Données_Planning!J299,MOD(Données_Planning!J299,60)))</f>
        <v>0</v>
      </c>
      <c r="P301" s="28" t="str">
        <f t="shared" si="40"/>
        <v>s</v>
      </c>
      <c r="Q301" s="37">
        <f>(IF(OR(A301="DWF",A301="DNF"),0,QUOTIENT(Données_Planning!I299,60)))</f>
        <v>0</v>
      </c>
      <c r="R301" s="7" t="str">
        <f t="shared" si="41"/>
        <v>min</v>
      </c>
      <c r="S301" s="36">
        <f>(IF(OR(A301="DWF",A301="DNF"),Données_Planning!I299,MOD(Données_Planning!I299,60)))</f>
        <v>0</v>
      </c>
      <c r="T301" s="28" t="str">
        <f t="shared" si="42"/>
        <v>s</v>
      </c>
      <c r="U301" s="37">
        <f>(IF(OR(A301="DWF",A301="DNF"),0,QUOTIENT(Données_Planning!K299,60)))</f>
        <v>0</v>
      </c>
      <c r="V301" s="7" t="str">
        <f t="shared" si="43"/>
        <v>min</v>
      </c>
      <c r="W301" s="36">
        <f>(IF(OR(A301="DWF",A301="DNF"),Données_Planning!K299,MOD(Données_Planning!K299,60)))</f>
        <v>0</v>
      </c>
      <c r="X301" s="38" t="str">
        <f t="shared" si="44"/>
        <v>s</v>
      </c>
      <c r="Y301" s="42"/>
    </row>
    <row r="302" spans="1:25" ht="15.75" x14ac:dyDescent="0.25">
      <c r="A302" s="4">
        <f>Données_Planning!A300</f>
        <v>0</v>
      </c>
      <c r="B302" s="6">
        <f>Données_Planning!B300</f>
        <v>0</v>
      </c>
      <c r="C302" s="28">
        <f>Données_Planning!C300</f>
        <v>0</v>
      </c>
      <c r="D302" s="50">
        <f t="shared" si="36"/>
        <v>0</v>
      </c>
      <c r="E302" s="51">
        <f t="shared" si="37"/>
        <v>0</v>
      </c>
      <c r="F302" s="52">
        <f t="shared" si="38"/>
        <v>0</v>
      </c>
      <c r="G302" s="47">
        <f>Données_Planning!L300</f>
        <v>0</v>
      </c>
      <c r="H302" s="18">
        <f>Données_Planning!H300</f>
        <v>0</v>
      </c>
      <c r="I302" s="5">
        <f>Données_Planning!D300</f>
        <v>0</v>
      </c>
      <c r="J302" s="22">
        <f>Données_Planning!F300</f>
        <v>0</v>
      </c>
      <c r="K302" s="22">
        <f>Données_Planning!E300</f>
        <v>0</v>
      </c>
      <c r="L302" s="35">
        <f>Données_Planning!G300</f>
        <v>0</v>
      </c>
      <c r="M302" s="37">
        <f>(IF(OR(A302="DWF",A302="DNF"),0,QUOTIENT(Données_Planning!J300,60)))</f>
        <v>0</v>
      </c>
      <c r="N302" s="7" t="str">
        <f t="shared" si="39"/>
        <v>min</v>
      </c>
      <c r="O302" s="36">
        <f>(IF(OR(A302="DWF",A302="DNF"),Données_Planning!J300,MOD(Données_Planning!J300,60)))</f>
        <v>0</v>
      </c>
      <c r="P302" s="28" t="str">
        <f t="shared" si="40"/>
        <v>s</v>
      </c>
      <c r="Q302" s="37">
        <f>(IF(OR(A302="DWF",A302="DNF"),0,QUOTIENT(Données_Planning!I300,60)))</f>
        <v>0</v>
      </c>
      <c r="R302" s="7" t="str">
        <f t="shared" si="41"/>
        <v>min</v>
      </c>
      <c r="S302" s="36">
        <f>(IF(OR(A302="DWF",A302="DNF"),Données_Planning!I300,MOD(Données_Planning!I300,60)))</f>
        <v>0</v>
      </c>
      <c r="T302" s="28" t="str">
        <f t="shared" si="42"/>
        <v>s</v>
      </c>
      <c r="U302" s="37">
        <f>(IF(OR(A302="DWF",A302="DNF"),0,QUOTIENT(Données_Planning!K300,60)))</f>
        <v>0</v>
      </c>
      <c r="V302" s="7" t="str">
        <f t="shared" si="43"/>
        <v>min</v>
      </c>
      <c r="W302" s="36">
        <f>(IF(OR(A302="DWF",A302="DNF"),Données_Planning!K300,MOD(Données_Planning!K300,60)))</f>
        <v>0</v>
      </c>
      <c r="X302" s="38" t="str">
        <f t="shared" si="44"/>
        <v>s</v>
      </c>
      <c r="Y302" s="42"/>
    </row>
    <row r="303" spans="1:25" ht="15.75" x14ac:dyDescent="0.25">
      <c r="A303" s="4">
        <f>Données_Planning!A301</f>
        <v>0</v>
      </c>
      <c r="B303" s="6">
        <f>Données_Planning!B301</f>
        <v>0</v>
      </c>
      <c r="C303" s="28">
        <f>Données_Planning!C301</f>
        <v>0</v>
      </c>
      <c r="D303" s="50">
        <f t="shared" si="36"/>
        <v>0</v>
      </c>
      <c r="E303" s="51">
        <f t="shared" si="37"/>
        <v>0</v>
      </c>
      <c r="F303" s="52">
        <f t="shared" si="38"/>
        <v>0</v>
      </c>
      <c r="G303" s="47">
        <f>Données_Planning!L301</f>
        <v>0</v>
      </c>
      <c r="H303" s="18">
        <f>Données_Planning!H301</f>
        <v>0</v>
      </c>
      <c r="I303" s="5">
        <f>Données_Planning!D301</f>
        <v>0</v>
      </c>
      <c r="J303" s="22">
        <f>Données_Planning!F301</f>
        <v>0</v>
      </c>
      <c r="K303" s="22">
        <f>Données_Planning!E301</f>
        <v>0</v>
      </c>
      <c r="L303" s="35">
        <f>Données_Planning!G301</f>
        <v>0</v>
      </c>
      <c r="M303" s="37">
        <f>(IF(OR(A303="DWF",A303="DNF"),0,QUOTIENT(Données_Planning!J301,60)))</f>
        <v>0</v>
      </c>
      <c r="N303" s="7" t="str">
        <f t="shared" si="39"/>
        <v>min</v>
      </c>
      <c r="O303" s="36">
        <f>(IF(OR(A303="DWF",A303="DNF"),Données_Planning!J301,MOD(Données_Planning!J301,60)))</f>
        <v>0</v>
      </c>
      <c r="P303" s="28" t="str">
        <f t="shared" si="40"/>
        <v>s</v>
      </c>
      <c r="Q303" s="37">
        <f>(IF(OR(A303="DWF",A303="DNF"),0,QUOTIENT(Données_Planning!I301,60)))</f>
        <v>0</v>
      </c>
      <c r="R303" s="7" t="str">
        <f t="shared" si="41"/>
        <v>min</v>
      </c>
      <c r="S303" s="36">
        <f>(IF(OR(A303="DWF",A303="DNF"),Données_Planning!I301,MOD(Données_Planning!I301,60)))</f>
        <v>0</v>
      </c>
      <c r="T303" s="28" t="str">
        <f t="shared" si="42"/>
        <v>s</v>
      </c>
      <c r="U303" s="37">
        <f>(IF(OR(A303="DWF",A303="DNF"),0,QUOTIENT(Données_Planning!K301,60)))</f>
        <v>0</v>
      </c>
      <c r="V303" s="7" t="str">
        <f t="shared" si="43"/>
        <v>min</v>
      </c>
      <c r="W303" s="36">
        <f>(IF(OR(A303="DWF",A303="DNF"),Données_Planning!K301,MOD(Données_Planning!K301,60)))</f>
        <v>0</v>
      </c>
      <c r="X303" s="38" t="str">
        <f t="shared" si="44"/>
        <v>s</v>
      </c>
      <c r="Y303" s="42"/>
    </row>
    <row r="304" spans="1:25" ht="15.75" x14ac:dyDescent="0.25">
      <c r="A304" s="4">
        <f>Données_Planning!A302</f>
        <v>0</v>
      </c>
      <c r="B304" s="6">
        <f>Données_Planning!B302</f>
        <v>0</v>
      </c>
      <c r="C304" s="28">
        <f>Données_Planning!C302</f>
        <v>0</v>
      </c>
      <c r="D304" s="50">
        <f t="shared" si="36"/>
        <v>0</v>
      </c>
      <c r="E304" s="51">
        <f t="shared" si="37"/>
        <v>0</v>
      </c>
      <c r="F304" s="52">
        <f t="shared" si="38"/>
        <v>0</v>
      </c>
      <c r="G304" s="47">
        <f>Données_Planning!L302</f>
        <v>0</v>
      </c>
      <c r="H304" s="18">
        <f>Données_Planning!H302</f>
        <v>0</v>
      </c>
      <c r="I304" s="5">
        <f>Données_Planning!D302</f>
        <v>0</v>
      </c>
      <c r="J304" s="22">
        <f>Données_Planning!F302</f>
        <v>0</v>
      </c>
      <c r="K304" s="22">
        <f>Données_Planning!E302</f>
        <v>0</v>
      </c>
      <c r="L304" s="35">
        <f>Données_Planning!G302</f>
        <v>0</v>
      </c>
      <c r="M304" s="37">
        <f>(IF(OR(A304="DWF",A304="DNF"),0,QUOTIENT(Données_Planning!J302,60)))</f>
        <v>0</v>
      </c>
      <c r="N304" s="7" t="str">
        <f t="shared" si="39"/>
        <v>min</v>
      </c>
      <c r="O304" s="36">
        <f>(IF(OR(A304="DWF",A304="DNF"),Données_Planning!J302,MOD(Données_Planning!J302,60)))</f>
        <v>0</v>
      </c>
      <c r="P304" s="28" t="str">
        <f t="shared" si="40"/>
        <v>s</v>
      </c>
      <c r="Q304" s="37">
        <f>(IF(OR(A304="DWF",A304="DNF"),0,QUOTIENT(Données_Planning!I302,60)))</f>
        <v>0</v>
      </c>
      <c r="R304" s="7" t="str">
        <f t="shared" si="41"/>
        <v>min</v>
      </c>
      <c r="S304" s="36">
        <f>(IF(OR(A304="DWF",A304="DNF"),Données_Planning!I302,MOD(Données_Planning!I302,60)))</f>
        <v>0</v>
      </c>
      <c r="T304" s="28" t="str">
        <f t="shared" si="42"/>
        <v>s</v>
      </c>
      <c r="U304" s="37">
        <f>(IF(OR(A304="DWF",A304="DNF"),0,QUOTIENT(Données_Planning!K302,60)))</f>
        <v>0</v>
      </c>
      <c r="V304" s="7" t="str">
        <f t="shared" si="43"/>
        <v>min</v>
      </c>
      <c r="W304" s="36">
        <f>(IF(OR(A304="DWF",A304="DNF"),Données_Planning!K302,MOD(Données_Planning!K302,60)))</f>
        <v>0</v>
      </c>
      <c r="X304" s="38" t="str">
        <f t="shared" si="44"/>
        <v>s</v>
      </c>
      <c r="Y304" s="42"/>
    </row>
    <row r="305" spans="1:25" ht="15.75" x14ac:dyDescent="0.25">
      <c r="A305" s="4">
        <f>Données_Planning!A303</f>
        <v>0</v>
      </c>
      <c r="B305" s="6">
        <f>Données_Planning!B303</f>
        <v>0</v>
      </c>
      <c r="C305" s="28">
        <f>Données_Planning!C303</f>
        <v>0</v>
      </c>
      <c r="D305" s="50">
        <f t="shared" si="36"/>
        <v>0</v>
      </c>
      <c r="E305" s="51">
        <f t="shared" si="37"/>
        <v>0</v>
      </c>
      <c r="F305" s="52">
        <f t="shared" si="38"/>
        <v>0</v>
      </c>
      <c r="G305" s="47">
        <f>Données_Planning!L303</f>
        <v>0</v>
      </c>
      <c r="H305" s="18">
        <f>Données_Planning!H303</f>
        <v>0</v>
      </c>
      <c r="I305" s="5">
        <f>Données_Planning!D303</f>
        <v>0</v>
      </c>
      <c r="J305" s="22">
        <f>Données_Planning!F303</f>
        <v>0</v>
      </c>
      <c r="K305" s="22">
        <f>Données_Planning!E303</f>
        <v>0</v>
      </c>
      <c r="L305" s="35">
        <f>Données_Planning!G303</f>
        <v>0</v>
      </c>
      <c r="M305" s="37">
        <f>(IF(OR(A305="DWF",A305="DNF"),0,QUOTIENT(Données_Planning!J303,60)))</f>
        <v>0</v>
      </c>
      <c r="N305" s="7" t="str">
        <f t="shared" si="39"/>
        <v>min</v>
      </c>
      <c r="O305" s="36">
        <f>(IF(OR(A305="DWF",A305="DNF"),Données_Planning!J303,MOD(Données_Planning!J303,60)))</f>
        <v>0</v>
      </c>
      <c r="P305" s="28" t="str">
        <f t="shared" si="40"/>
        <v>s</v>
      </c>
      <c r="Q305" s="37">
        <f>(IF(OR(A305="DWF",A305="DNF"),0,QUOTIENT(Données_Planning!I303,60)))</f>
        <v>0</v>
      </c>
      <c r="R305" s="7" t="str">
        <f t="shared" si="41"/>
        <v>min</v>
      </c>
      <c r="S305" s="36">
        <f>(IF(OR(A305="DWF",A305="DNF"),Données_Planning!I303,MOD(Données_Planning!I303,60)))</f>
        <v>0</v>
      </c>
      <c r="T305" s="28" t="str">
        <f t="shared" si="42"/>
        <v>s</v>
      </c>
      <c r="U305" s="37">
        <f>(IF(OR(A305="DWF",A305="DNF"),0,QUOTIENT(Données_Planning!K303,60)))</f>
        <v>0</v>
      </c>
      <c r="V305" s="7" t="str">
        <f t="shared" si="43"/>
        <v>min</v>
      </c>
      <c r="W305" s="36">
        <f>(IF(OR(A305="DWF",A305="DNF"),Données_Planning!K303,MOD(Données_Planning!K303,60)))</f>
        <v>0</v>
      </c>
      <c r="X305" s="38" t="str">
        <f t="shared" si="44"/>
        <v>s</v>
      </c>
      <c r="Y305" s="42"/>
    </row>
    <row r="306" spans="1:25" ht="15.75" x14ac:dyDescent="0.25">
      <c r="A306" s="4">
        <f>Données_Planning!A304</f>
        <v>0</v>
      </c>
      <c r="B306" s="6">
        <f>Données_Planning!B304</f>
        <v>0</v>
      </c>
      <c r="C306" s="28">
        <f>Données_Planning!C304</f>
        <v>0</v>
      </c>
      <c r="D306" s="50">
        <f t="shared" si="36"/>
        <v>0</v>
      </c>
      <c r="E306" s="51">
        <f t="shared" si="37"/>
        <v>0</v>
      </c>
      <c r="F306" s="52">
        <f t="shared" si="38"/>
        <v>0</v>
      </c>
      <c r="G306" s="47">
        <f>Données_Planning!L304</f>
        <v>0</v>
      </c>
      <c r="H306" s="18">
        <f>Données_Planning!H304</f>
        <v>0</v>
      </c>
      <c r="I306" s="5">
        <f>Données_Planning!D304</f>
        <v>0</v>
      </c>
      <c r="J306" s="22">
        <f>Données_Planning!F304</f>
        <v>0</v>
      </c>
      <c r="K306" s="22">
        <f>Données_Planning!E304</f>
        <v>0</v>
      </c>
      <c r="L306" s="35">
        <f>Données_Planning!G304</f>
        <v>0</v>
      </c>
      <c r="M306" s="37">
        <f>(IF(OR(A306="DWF",A306="DNF"),0,QUOTIENT(Données_Planning!J304,60)))</f>
        <v>0</v>
      </c>
      <c r="N306" s="7" t="str">
        <f t="shared" si="39"/>
        <v>min</v>
      </c>
      <c r="O306" s="36">
        <f>(IF(OR(A306="DWF",A306="DNF"),Données_Planning!J304,MOD(Données_Planning!J304,60)))</f>
        <v>0</v>
      </c>
      <c r="P306" s="28" t="str">
        <f t="shared" si="40"/>
        <v>s</v>
      </c>
      <c r="Q306" s="37">
        <f>(IF(OR(A306="DWF",A306="DNF"),0,QUOTIENT(Données_Planning!I304,60)))</f>
        <v>0</v>
      </c>
      <c r="R306" s="7" t="str">
        <f t="shared" si="41"/>
        <v>min</v>
      </c>
      <c r="S306" s="36">
        <f>(IF(OR(A306="DWF",A306="DNF"),Données_Planning!I304,MOD(Données_Planning!I304,60)))</f>
        <v>0</v>
      </c>
      <c r="T306" s="28" t="str">
        <f t="shared" si="42"/>
        <v>s</v>
      </c>
      <c r="U306" s="37">
        <f>(IF(OR(A306="DWF",A306="DNF"),0,QUOTIENT(Données_Planning!K304,60)))</f>
        <v>0</v>
      </c>
      <c r="V306" s="7" t="str">
        <f t="shared" si="43"/>
        <v>min</v>
      </c>
      <c r="W306" s="36">
        <f>(IF(OR(A306="DWF",A306="DNF"),Données_Planning!K304,MOD(Données_Planning!K304,60)))</f>
        <v>0</v>
      </c>
      <c r="X306" s="38" t="str">
        <f t="shared" si="44"/>
        <v>s</v>
      </c>
      <c r="Y306" s="42"/>
    </row>
    <row r="307" spans="1:25" ht="15.75" x14ac:dyDescent="0.25">
      <c r="A307" s="4">
        <f>Données_Planning!A305</f>
        <v>0</v>
      </c>
      <c r="B307" s="6">
        <f>Données_Planning!B305</f>
        <v>0</v>
      </c>
      <c r="C307" s="28">
        <f>Données_Planning!C305</f>
        <v>0</v>
      </c>
      <c r="D307" s="50">
        <f t="shared" si="36"/>
        <v>0</v>
      </c>
      <c r="E307" s="51">
        <f t="shared" si="37"/>
        <v>0</v>
      </c>
      <c r="F307" s="52">
        <f t="shared" si="38"/>
        <v>0</v>
      </c>
      <c r="G307" s="47">
        <f>Données_Planning!L305</f>
        <v>0</v>
      </c>
      <c r="H307" s="18">
        <f>Données_Planning!H305</f>
        <v>0</v>
      </c>
      <c r="I307" s="5">
        <f>Données_Planning!D305</f>
        <v>0</v>
      </c>
      <c r="J307" s="22">
        <f>Données_Planning!F305</f>
        <v>0</v>
      </c>
      <c r="K307" s="22">
        <f>Données_Planning!E305</f>
        <v>0</v>
      </c>
      <c r="L307" s="35">
        <f>Données_Planning!G305</f>
        <v>0</v>
      </c>
      <c r="M307" s="37">
        <f>(IF(OR(A307="DWF",A307="DNF"),0,QUOTIENT(Données_Planning!J305,60)))</f>
        <v>0</v>
      </c>
      <c r="N307" s="7" t="str">
        <f t="shared" si="39"/>
        <v>min</v>
      </c>
      <c r="O307" s="36">
        <f>(IF(OR(A307="DWF",A307="DNF"),Données_Planning!J305,MOD(Données_Planning!J305,60)))</f>
        <v>0</v>
      </c>
      <c r="P307" s="28" t="str">
        <f t="shared" si="40"/>
        <v>s</v>
      </c>
      <c r="Q307" s="37">
        <f>(IF(OR(A307="DWF",A307="DNF"),0,QUOTIENT(Données_Planning!I305,60)))</f>
        <v>0</v>
      </c>
      <c r="R307" s="7" t="str">
        <f t="shared" si="41"/>
        <v>min</v>
      </c>
      <c r="S307" s="36">
        <f>(IF(OR(A307="DWF",A307="DNF"),Données_Planning!I305,MOD(Données_Planning!I305,60)))</f>
        <v>0</v>
      </c>
      <c r="T307" s="28" t="str">
        <f t="shared" si="42"/>
        <v>s</v>
      </c>
      <c r="U307" s="37">
        <f>(IF(OR(A307="DWF",A307="DNF"),0,QUOTIENT(Données_Planning!K305,60)))</f>
        <v>0</v>
      </c>
      <c r="V307" s="7" t="str">
        <f t="shared" si="43"/>
        <v>min</v>
      </c>
      <c r="W307" s="36">
        <f>(IF(OR(A307="DWF",A307="DNF"),Données_Planning!K305,MOD(Données_Planning!K305,60)))</f>
        <v>0</v>
      </c>
      <c r="X307" s="38" t="str">
        <f t="shared" si="44"/>
        <v>s</v>
      </c>
      <c r="Y307" s="42"/>
    </row>
    <row r="308" spans="1:25" ht="15.75" x14ac:dyDescent="0.25">
      <c r="A308" s="4">
        <f>Données_Planning!A306</f>
        <v>0</v>
      </c>
      <c r="B308" s="6">
        <f>Données_Planning!B306</f>
        <v>0</v>
      </c>
      <c r="C308" s="28">
        <f>Données_Planning!C306</f>
        <v>0</v>
      </c>
      <c r="D308" s="50">
        <f t="shared" si="36"/>
        <v>0</v>
      </c>
      <c r="E308" s="51">
        <f t="shared" si="37"/>
        <v>0</v>
      </c>
      <c r="F308" s="52">
        <f t="shared" si="38"/>
        <v>0</v>
      </c>
      <c r="G308" s="47">
        <f>Données_Planning!L306</f>
        <v>0</v>
      </c>
      <c r="H308" s="18">
        <f>Données_Planning!H306</f>
        <v>0</v>
      </c>
      <c r="I308" s="5">
        <f>Données_Planning!D306</f>
        <v>0</v>
      </c>
      <c r="J308" s="22">
        <f>Données_Planning!F306</f>
        <v>0</v>
      </c>
      <c r="K308" s="22">
        <f>Données_Planning!E306</f>
        <v>0</v>
      </c>
      <c r="L308" s="35">
        <f>Données_Planning!G306</f>
        <v>0</v>
      </c>
      <c r="M308" s="37">
        <f>(IF(OR(A308="DWF",A308="DNF"),0,QUOTIENT(Données_Planning!J306,60)))</f>
        <v>0</v>
      </c>
      <c r="N308" s="7" t="str">
        <f t="shared" si="39"/>
        <v>min</v>
      </c>
      <c r="O308" s="36">
        <f>(IF(OR(A308="DWF",A308="DNF"),Données_Planning!J306,MOD(Données_Planning!J306,60)))</f>
        <v>0</v>
      </c>
      <c r="P308" s="28" t="str">
        <f t="shared" si="40"/>
        <v>s</v>
      </c>
      <c r="Q308" s="37">
        <f>(IF(OR(A308="DWF",A308="DNF"),0,QUOTIENT(Données_Planning!I306,60)))</f>
        <v>0</v>
      </c>
      <c r="R308" s="7" t="str">
        <f t="shared" si="41"/>
        <v>min</v>
      </c>
      <c r="S308" s="36">
        <f>(IF(OR(A308="DWF",A308="DNF"),Données_Planning!I306,MOD(Données_Planning!I306,60)))</f>
        <v>0</v>
      </c>
      <c r="T308" s="28" t="str">
        <f t="shared" si="42"/>
        <v>s</v>
      </c>
      <c r="U308" s="37">
        <f>(IF(OR(A308="DWF",A308="DNF"),0,QUOTIENT(Données_Planning!K306,60)))</f>
        <v>0</v>
      </c>
      <c r="V308" s="7" t="str">
        <f t="shared" si="43"/>
        <v>min</v>
      </c>
      <c r="W308" s="36">
        <f>(IF(OR(A308="DWF",A308="DNF"),Données_Planning!K306,MOD(Données_Planning!K306,60)))</f>
        <v>0</v>
      </c>
      <c r="X308" s="38" t="str">
        <f t="shared" si="44"/>
        <v>s</v>
      </c>
      <c r="Y308" s="42"/>
    </row>
    <row r="309" spans="1:25" ht="15.75" x14ac:dyDescent="0.25">
      <c r="A309" s="4">
        <f>Données_Planning!A307</f>
        <v>0</v>
      </c>
      <c r="B309" s="6">
        <f>Données_Planning!B307</f>
        <v>0</v>
      </c>
      <c r="C309" s="28">
        <f>Données_Planning!C307</f>
        <v>0</v>
      </c>
      <c r="D309" s="50">
        <f t="shared" si="36"/>
        <v>0</v>
      </c>
      <c r="E309" s="51">
        <f t="shared" si="37"/>
        <v>0</v>
      </c>
      <c r="F309" s="52">
        <f t="shared" si="38"/>
        <v>0</v>
      </c>
      <c r="G309" s="47">
        <f>Données_Planning!L307</f>
        <v>0</v>
      </c>
      <c r="H309" s="18">
        <f>Données_Planning!H307</f>
        <v>0</v>
      </c>
      <c r="I309" s="5">
        <f>Données_Planning!D307</f>
        <v>0</v>
      </c>
      <c r="J309" s="22">
        <f>Données_Planning!F307</f>
        <v>0</v>
      </c>
      <c r="K309" s="22">
        <f>Données_Planning!E307</f>
        <v>0</v>
      </c>
      <c r="L309" s="35">
        <f>Données_Planning!G307</f>
        <v>0</v>
      </c>
      <c r="M309" s="37">
        <f>(IF(OR(A309="DWF",A309="DNF"),0,QUOTIENT(Données_Planning!J307,60)))</f>
        <v>0</v>
      </c>
      <c r="N309" s="7" t="str">
        <f t="shared" si="39"/>
        <v>min</v>
      </c>
      <c r="O309" s="36">
        <f>(IF(OR(A309="DWF",A309="DNF"),Données_Planning!J307,MOD(Données_Planning!J307,60)))</f>
        <v>0</v>
      </c>
      <c r="P309" s="28" t="str">
        <f t="shared" si="40"/>
        <v>s</v>
      </c>
      <c r="Q309" s="37">
        <f>(IF(OR(A309="DWF",A309="DNF"),0,QUOTIENT(Données_Planning!I307,60)))</f>
        <v>0</v>
      </c>
      <c r="R309" s="7" t="str">
        <f t="shared" si="41"/>
        <v>min</v>
      </c>
      <c r="S309" s="36">
        <f>(IF(OR(A309="DWF",A309="DNF"),Données_Planning!I307,MOD(Données_Planning!I307,60)))</f>
        <v>0</v>
      </c>
      <c r="T309" s="28" t="str">
        <f t="shared" si="42"/>
        <v>s</v>
      </c>
      <c r="U309" s="37">
        <f>(IF(OR(A309="DWF",A309="DNF"),0,QUOTIENT(Données_Planning!K307,60)))</f>
        <v>0</v>
      </c>
      <c r="V309" s="7" t="str">
        <f t="shared" si="43"/>
        <v>min</v>
      </c>
      <c r="W309" s="36">
        <f>(IF(OR(A309="DWF",A309="DNF"),Données_Planning!K307,MOD(Données_Planning!K307,60)))</f>
        <v>0</v>
      </c>
      <c r="X309" s="38" t="str">
        <f t="shared" si="44"/>
        <v>s</v>
      </c>
      <c r="Y309" s="42"/>
    </row>
    <row r="310" spans="1:25" ht="15.75" x14ac:dyDescent="0.25">
      <c r="A310" s="4">
        <f>Données_Planning!A308</f>
        <v>0</v>
      </c>
      <c r="B310" s="6">
        <f>Données_Planning!B308</f>
        <v>0</v>
      </c>
      <c r="C310" s="28">
        <f>Données_Planning!C308</f>
        <v>0</v>
      </c>
      <c r="D310" s="50">
        <f t="shared" si="36"/>
        <v>0</v>
      </c>
      <c r="E310" s="51">
        <f t="shared" si="37"/>
        <v>0</v>
      </c>
      <c r="F310" s="52">
        <f t="shared" si="38"/>
        <v>0</v>
      </c>
      <c r="G310" s="47">
        <f>Données_Planning!L308</f>
        <v>0</v>
      </c>
      <c r="H310" s="18">
        <f>Données_Planning!H308</f>
        <v>0</v>
      </c>
      <c r="I310" s="5">
        <f>Données_Planning!D308</f>
        <v>0</v>
      </c>
      <c r="J310" s="22">
        <f>Données_Planning!F308</f>
        <v>0</v>
      </c>
      <c r="K310" s="22">
        <f>Données_Planning!E308</f>
        <v>0</v>
      </c>
      <c r="L310" s="35">
        <f>Données_Planning!G308</f>
        <v>0</v>
      </c>
      <c r="M310" s="37">
        <f>(IF(OR(A310="DWF",A310="DNF"),0,QUOTIENT(Données_Planning!J308,60)))</f>
        <v>0</v>
      </c>
      <c r="N310" s="7" t="str">
        <f t="shared" si="39"/>
        <v>min</v>
      </c>
      <c r="O310" s="36">
        <f>(IF(OR(A310="DWF",A310="DNF"),Données_Planning!J308,MOD(Données_Planning!J308,60)))</f>
        <v>0</v>
      </c>
      <c r="P310" s="28" t="str">
        <f t="shared" si="40"/>
        <v>s</v>
      </c>
      <c r="Q310" s="37">
        <f>(IF(OR(A310="DWF",A310="DNF"),0,QUOTIENT(Données_Planning!I308,60)))</f>
        <v>0</v>
      </c>
      <c r="R310" s="7" t="str">
        <f t="shared" si="41"/>
        <v>min</v>
      </c>
      <c r="S310" s="36">
        <f>(IF(OR(A310="DWF",A310="DNF"),Données_Planning!I308,MOD(Données_Planning!I308,60)))</f>
        <v>0</v>
      </c>
      <c r="T310" s="28" t="str">
        <f t="shared" si="42"/>
        <v>s</v>
      </c>
      <c r="U310" s="37">
        <f>(IF(OR(A310="DWF",A310="DNF"),0,QUOTIENT(Données_Planning!K308,60)))</f>
        <v>0</v>
      </c>
      <c r="V310" s="7" t="str">
        <f t="shared" si="43"/>
        <v>min</v>
      </c>
      <c r="W310" s="36">
        <f>(IF(OR(A310="DWF",A310="DNF"),Données_Planning!K308,MOD(Données_Planning!K308,60)))</f>
        <v>0</v>
      </c>
      <c r="X310" s="38" t="str">
        <f t="shared" si="44"/>
        <v>s</v>
      </c>
      <c r="Y310" s="42"/>
    </row>
    <row r="311" spans="1:25" ht="15.75" x14ac:dyDescent="0.25">
      <c r="A311" s="4">
        <f>Données_Planning!A309</f>
        <v>0</v>
      </c>
      <c r="B311" s="6">
        <f>Données_Planning!B309</f>
        <v>0</v>
      </c>
      <c r="C311" s="28">
        <f>Données_Planning!C309</f>
        <v>0</v>
      </c>
      <c r="D311" s="50">
        <f t="shared" si="36"/>
        <v>0</v>
      </c>
      <c r="E311" s="51">
        <f t="shared" si="37"/>
        <v>0</v>
      </c>
      <c r="F311" s="52">
        <f t="shared" si="38"/>
        <v>0</v>
      </c>
      <c r="G311" s="47">
        <f>Données_Planning!L309</f>
        <v>0</v>
      </c>
      <c r="H311" s="18">
        <f>Données_Planning!H309</f>
        <v>0</v>
      </c>
      <c r="I311" s="5">
        <f>Données_Planning!D309</f>
        <v>0</v>
      </c>
      <c r="J311" s="22">
        <f>Données_Planning!F309</f>
        <v>0</v>
      </c>
      <c r="K311" s="22">
        <f>Données_Planning!E309</f>
        <v>0</v>
      </c>
      <c r="L311" s="35">
        <f>Données_Planning!G309</f>
        <v>0</v>
      </c>
      <c r="M311" s="37">
        <f>(IF(OR(A311="DWF",A311="DNF"),0,QUOTIENT(Données_Planning!J309,60)))</f>
        <v>0</v>
      </c>
      <c r="N311" s="7" t="str">
        <f t="shared" si="39"/>
        <v>min</v>
      </c>
      <c r="O311" s="36">
        <f>(IF(OR(A311="DWF",A311="DNF"),Données_Planning!J309,MOD(Données_Planning!J309,60)))</f>
        <v>0</v>
      </c>
      <c r="P311" s="28" t="str">
        <f t="shared" si="40"/>
        <v>s</v>
      </c>
      <c r="Q311" s="37">
        <f>(IF(OR(A311="DWF",A311="DNF"),0,QUOTIENT(Données_Planning!I309,60)))</f>
        <v>0</v>
      </c>
      <c r="R311" s="7" t="str">
        <f t="shared" si="41"/>
        <v>min</v>
      </c>
      <c r="S311" s="36">
        <f>(IF(OR(A311="DWF",A311="DNF"),Données_Planning!I309,MOD(Données_Planning!I309,60)))</f>
        <v>0</v>
      </c>
      <c r="T311" s="28" t="str">
        <f t="shared" si="42"/>
        <v>s</v>
      </c>
      <c r="U311" s="37">
        <f>(IF(OR(A311="DWF",A311="DNF"),0,QUOTIENT(Données_Planning!K309,60)))</f>
        <v>0</v>
      </c>
      <c r="V311" s="7" t="str">
        <f t="shared" si="43"/>
        <v>min</v>
      </c>
      <c r="W311" s="36">
        <f>(IF(OR(A311="DWF",A311="DNF"),Données_Planning!K309,MOD(Données_Planning!K309,60)))</f>
        <v>0</v>
      </c>
      <c r="X311" s="38" t="str">
        <f t="shared" si="44"/>
        <v>s</v>
      </c>
      <c r="Y311" s="42"/>
    </row>
    <row r="312" spans="1:25" ht="15.75" x14ac:dyDescent="0.25">
      <c r="A312" s="4">
        <f>Données_Planning!A310</f>
        <v>0</v>
      </c>
      <c r="B312" s="6">
        <f>Données_Planning!B310</f>
        <v>0</v>
      </c>
      <c r="C312" s="28">
        <f>Données_Planning!C310</f>
        <v>0</v>
      </c>
      <c r="D312" s="50">
        <f t="shared" si="36"/>
        <v>0</v>
      </c>
      <c r="E312" s="51">
        <f t="shared" si="37"/>
        <v>0</v>
      </c>
      <c r="F312" s="52">
        <f t="shared" si="38"/>
        <v>0</v>
      </c>
      <c r="G312" s="47">
        <f>Données_Planning!L310</f>
        <v>0</v>
      </c>
      <c r="H312" s="18">
        <f>Données_Planning!H310</f>
        <v>0</v>
      </c>
      <c r="I312" s="5">
        <f>Données_Planning!D310</f>
        <v>0</v>
      </c>
      <c r="J312" s="22">
        <f>Données_Planning!F310</f>
        <v>0</v>
      </c>
      <c r="K312" s="22">
        <f>Données_Planning!E310</f>
        <v>0</v>
      </c>
      <c r="L312" s="35">
        <f>Données_Planning!G310</f>
        <v>0</v>
      </c>
      <c r="M312" s="37">
        <f>(IF(OR(A312="DWF",A312="DNF"),0,QUOTIENT(Données_Planning!J310,60)))</f>
        <v>0</v>
      </c>
      <c r="N312" s="7" t="str">
        <f t="shared" si="39"/>
        <v>min</v>
      </c>
      <c r="O312" s="36">
        <f>(IF(OR(A312="DWF",A312="DNF"),Données_Planning!J310,MOD(Données_Planning!J310,60)))</f>
        <v>0</v>
      </c>
      <c r="P312" s="28" t="str">
        <f t="shared" si="40"/>
        <v>s</v>
      </c>
      <c r="Q312" s="37">
        <f>(IF(OR(A312="DWF",A312="DNF"),0,QUOTIENT(Données_Planning!I310,60)))</f>
        <v>0</v>
      </c>
      <c r="R312" s="7" t="str">
        <f t="shared" si="41"/>
        <v>min</v>
      </c>
      <c r="S312" s="36">
        <f>(IF(OR(A312="DWF",A312="DNF"),Données_Planning!I310,MOD(Données_Planning!I310,60)))</f>
        <v>0</v>
      </c>
      <c r="T312" s="28" t="str">
        <f t="shared" si="42"/>
        <v>s</v>
      </c>
      <c r="U312" s="37">
        <f>(IF(OR(A312="DWF",A312="DNF"),0,QUOTIENT(Données_Planning!K310,60)))</f>
        <v>0</v>
      </c>
      <c r="V312" s="7" t="str">
        <f t="shared" si="43"/>
        <v>min</v>
      </c>
      <c r="W312" s="36">
        <f>(IF(OR(A312="DWF",A312="DNF"),Données_Planning!K310,MOD(Données_Planning!K310,60)))</f>
        <v>0</v>
      </c>
      <c r="X312" s="38" t="str">
        <f t="shared" si="44"/>
        <v>s</v>
      </c>
      <c r="Y312" s="42"/>
    </row>
    <row r="313" spans="1:25" ht="15.75" x14ac:dyDescent="0.25">
      <c r="A313" s="4">
        <f>Données_Planning!A311</f>
        <v>0</v>
      </c>
      <c r="B313" s="6">
        <f>Données_Planning!B311</f>
        <v>0</v>
      </c>
      <c r="C313" s="28">
        <f>Données_Planning!C311</f>
        <v>0</v>
      </c>
      <c r="D313" s="50">
        <f t="shared" si="36"/>
        <v>0</v>
      </c>
      <c r="E313" s="51">
        <f t="shared" si="37"/>
        <v>0</v>
      </c>
      <c r="F313" s="52">
        <f t="shared" si="38"/>
        <v>0</v>
      </c>
      <c r="G313" s="47">
        <f>Données_Planning!L311</f>
        <v>0</v>
      </c>
      <c r="H313" s="18">
        <f>Données_Planning!H311</f>
        <v>0</v>
      </c>
      <c r="I313" s="5">
        <f>Données_Planning!D311</f>
        <v>0</v>
      </c>
      <c r="J313" s="22">
        <f>Données_Planning!F311</f>
        <v>0</v>
      </c>
      <c r="K313" s="22">
        <f>Données_Planning!E311</f>
        <v>0</v>
      </c>
      <c r="L313" s="35">
        <f>Données_Planning!G311</f>
        <v>0</v>
      </c>
      <c r="M313" s="37">
        <f>(IF(OR(A313="DWF",A313="DNF"),0,QUOTIENT(Données_Planning!J311,60)))</f>
        <v>0</v>
      </c>
      <c r="N313" s="7" t="str">
        <f t="shared" si="39"/>
        <v>min</v>
      </c>
      <c r="O313" s="36">
        <f>(IF(OR(A313="DWF",A313="DNF"),Données_Planning!J311,MOD(Données_Planning!J311,60)))</f>
        <v>0</v>
      </c>
      <c r="P313" s="28" t="str">
        <f t="shared" si="40"/>
        <v>s</v>
      </c>
      <c r="Q313" s="37">
        <f>(IF(OR(A313="DWF",A313="DNF"),0,QUOTIENT(Données_Planning!I311,60)))</f>
        <v>0</v>
      </c>
      <c r="R313" s="7" t="str">
        <f t="shared" si="41"/>
        <v>min</v>
      </c>
      <c r="S313" s="36">
        <f>(IF(OR(A313="DWF",A313="DNF"),Données_Planning!I311,MOD(Données_Planning!I311,60)))</f>
        <v>0</v>
      </c>
      <c r="T313" s="28" t="str">
        <f t="shared" si="42"/>
        <v>s</v>
      </c>
      <c r="U313" s="37">
        <f>(IF(OR(A313="DWF",A313="DNF"),0,QUOTIENT(Données_Planning!K311,60)))</f>
        <v>0</v>
      </c>
      <c r="V313" s="7" t="str">
        <f t="shared" si="43"/>
        <v>min</v>
      </c>
      <c r="W313" s="36">
        <f>(IF(OR(A313="DWF",A313="DNF"),Données_Planning!K311,MOD(Données_Planning!K311,60)))</f>
        <v>0</v>
      </c>
      <c r="X313" s="38" t="str">
        <f t="shared" si="44"/>
        <v>s</v>
      </c>
      <c r="Y313" s="42"/>
    </row>
    <row r="314" spans="1:25" ht="15.75" x14ac:dyDescent="0.25">
      <c r="A314" s="4">
        <f>Données_Planning!A312</f>
        <v>0</v>
      </c>
      <c r="B314" s="6">
        <f>Données_Planning!B312</f>
        <v>0</v>
      </c>
      <c r="C314" s="28">
        <f>Données_Planning!C312</f>
        <v>0</v>
      </c>
      <c r="D314" s="50">
        <f t="shared" si="36"/>
        <v>0</v>
      </c>
      <c r="E314" s="51">
        <f t="shared" si="37"/>
        <v>0</v>
      </c>
      <c r="F314" s="52">
        <f t="shared" si="38"/>
        <v>0</v>
      </c>
      <c r="G314" s="47">
        <f>Données_Planning!L312</f>
        <v>0</v>
      </c>
      <c r="H314" s="18">
        <f>Données_Planning!H312</f>
        <v>0</v>
      </c>
      <c r="I314" s="5">
        <f>Données_Planning!D312</f>
        <v>0</v>
      </c>
      <c r="J314" s="22">
        <f>Données_Planning!F312</f>
        <v>0</v>
      </c>
      <c r="K314" s="22">
        <f>Données_Planning!E312</f>
        <v>0</v>
      </c>
      <c r="L314" s="35">
        <f>Données_Planning!G312</f>
        <v>0</v>
      </c>
      <c r="M314" s="37">
        <f>(IF(OR(A314="DWF",A314="DNF"),0,QUOTIENT(Données_Planning!J312,60)))</f>
        <v>0</v>
      </c>
      <c r="N314" s="7" t="str">
        <f t="shared" si="39"/>
        <v>min</v>
      </c>
      <c r="O314" s="36">
        <f>(IF(OR(A314="DWF",A314="DNF"),Données_Planning!J312,MOD(Données_Planning!J312,60)))</f>
        <v>0</v>
      </c>
      <c r="P314" s="28" t="str">
        <f t="shared" si="40"/>
        <v>s</v>
      </c>
      <c r="Q314" s="37">
        <f>(IF(OR(A314="DWF",A314="DNF"),0,QUOTIENT(Données_Planning!I312,60)))</f>
        <v>0</v>
      </c>
      <c r="R314" s="7" t="str">
        <f t="shared" si="41"/>
        <v>min</v>
      </c>
      <c r="S314" s="36">
        <f>(IF(OR(A314="DWF",A314="DNF"),Données_Planning!I312,MOD(Données_Planning!I312,60)))</f>
        <v>0</v>
      </c>
      <c r="T314" s="28" t="str">
        <f t="shared" si="42"/>
        <v>s</v>
      </c>
      <c r="U314" s="37">
        <f>(IF(OR(A314="DWF",A314="DNF"),0,QUOTIENT(Données_Planning!K312,60)))</f>
        <v>0</v>
      </c>
      <c r="V314" s="7" t="str">
        <f t="shared" si="43"/>
        <v>min</v>
      </c>
      <c r="W314" s="36">
        <f>(IF(OR(A314="DWF",A314="DNF"),Données_Planning!K312,MOD(Données_Planning!K312,60)))</f>
        <v>0</v>
      </c>
      <c r="X314" s="38" t="str">
        <f t="shared" si="44"/>
        <v>s</v>
      </c>
      <c r="Y314" s="42"/>
    </row>
    <row r="315" spans="1:25" ht="15.75" x14ac:dyDescent="0.25">
      <c r="A315" s="4">
        <f>Données_Planning!A313</f>
        <v>0</v>
      </c>
      <c r="B315" s="6">
        <f>Données_Planning!B313</f>
        <v>0</v>
      </c>
      <c r="C315" s="28">
        <f>Données_Planning!C313</f>
        <v>0</v>
      </c>
      <c r="D315" s="50">
        <f t="shared" si="36"/>
        <v>0</v>
      </c>
      <c r="E315" s="51">
        <f t="shared" si="37"/>
        <v>0</v>
      </c>
      <c r="F315" s="52">
        <f t="shared" si="38"/>
        <v>0</v>
      </c>
      <c r="G315" s="47">
        <f>Données_Planning!L313</f>
        <v>0</v>
      </c>
      <c r="H315" s="18">
        <f>Données_Planning!H313</f>
        <v>0</v>
      </c>
      <c r="I315" s="5">
        <f>Données_Planning!D313</f>
        <v>0</v>
      </c>
      <c r="J315" s="22">
        <f>Données_Planning!F313</f>
        <v>0</v>
      </c>
      <c r="K315" s="22">
        <f>Données_Planning!E313</f>
        <v>0</v>
      </c>
      <c r="L315" s="35">
        <f>Données_Planning!G313</f>
        <v>0</v>
      </c>
      <c r="M315" s="37">
        <f>(IF(OR(A315="DWF",A315="DNF"),0,QUOTIENT(Données_Planning!J313,60)))</f>
        <v>0</v>
      </c>
      <c r="N315" s="7" t="str">
        <f t="shared" si="39"/>
        <v>min</v>
      </c>
      <c r="O315" s="36">
        <f>(IF(OR(A315="DWF",A315="DNF"),Données_Planning!J313,MOD(Données_Planning!J313,60)))</f>
        <v>0</v>
      </c>
      <c r="P315" s="28" t="str">
        <f t="shared" si="40"/>
        <v>s</v>
      </c>
      <c r="Q315" s="37">
        <f>(IF(OR(A315="DWF",A315="DNF"),0,QUOTIENT(Données_Planning!I313,60)))</f>
        <v>0</v>
      </c>
      <c r="R315" s="7" t="str">
        <f t="shared" si="41"/>
        <v>min</v>
      </c>
      <c r="S315" s="36">
        <f>(IF(OR(A315="DWF",A315="DNF"),Données_Planning!I313,MOD(Données_Planning!I313,60)))</f>
        <v>0</v>
      </c>
      <c r="T315" s="28" t="str">
        <f t="shared" si="42"/>
        <v>s</v>
      </c>
      <c r="U315" s="37">
        <f>(IF(OR(A315="DWF",A315="DNF"),0,QUOTIENT(Données_Planning!K313,60)))</f>
        <v>0</v>
      </c>
      <c r="V315" s="7" t="str">
        <f t="shared" si="43"/>
        <v>min</v>
      </c>
      <c r="W315" s="36">
        <f>(IF(OR(A315="DWF",A315="DNF"),Données_Planning!K313,MOD(Données_Planning!K313,60)))</f>
        <v>0</v>
      </c>
      <c r="X315" s="38" t="str">
        <f t="shared" si="44"/>
        <v>s</v>
      </c>
      <c r="Y315" s="42"/>
    </row>
    <row r="316" spans="1:25" ht="15.75" x14ac:dyDescent="0.25">
      <c r="A316" s="4">
        <f>Données_Planning!A314</f>
        <v>0</v>
      </c>
      <c r="B316" s="6">
        <f>Données_Planning!B314</f>
        <v>0</v>
      </c>
      <c r="C316" s="28">
        <f>Données_Planning!C314</f>
        <v>0</v>
      </c>
      <c r="D316" s="50">
        <f t="shared" si="36"/>
        <v>0</v>
      </c>
      <c r="E316" s="51">
        <f t="shared" si="37"/>
        <v>0</v>
      </c>
      <c r="F316" s="52">
        <f t="shared" si="38"/>
        <v>0</v>
      </c>
      <c r="G316" s="47">
        <f>Données_Planning!L314</f>
        <v>0</v>
      </c>
      <c r="H316" s="18">
        <f>Données_Planning!H314</f>
        <v>0</v>
      </c>
      <c r="I316" s="5">
        <f>Données_Planning!D314</f>
        <v>0</v>
      </c>
      <c r="J316" s="22">
        <f>Données_Planning!F314</f>
        <v>0</v>
      </c>
      <c r="K316" s="22">
        <f>Données_Planning!E314</f>
        <v>0</v>
      </c>
      <c r="L316" s="35">
        <f>Données_Planning!G314</f>
        <v>0</v>
      </c>
      <c r="M316" s="37">
        <f>(IF(OR(A316="DWF",A316="DNF"),0,QUOTIENT(Données_Planning!J314,60)))</f>
        <v>0</v>
      </c>
      <c r="N316" s="7" t="str">
        <f t="shared" si="39"/>
        <v>min</v>
      </c>
      <c r="O316" s="36">
        <f>(IF(OR(A316="DWF",A316="DNF"),Données_Planning!J314,MOD(Données_Planning!J314,60)))</f>
        <v>0</v>
      </c>
      <c r="P316" s="28" t="str">
        <f t="shared" si="40"/>
        <v>s</v>
      </c>
      <c r="Q316" s="37">
        <f>(IF(OR(A316="DWF",A316="DNF"),0,QUOTIENT(Données_Planning!I314,60)))</f>
        <v>0</v>
      </c>
      <c r="R316" s="7" t="str">
        <f t="shared" si="41"/>
        <v>min</v>
      </c>
      <c r="S316" s="36">
        <f>(IF(OR(A316="DWF",A316="DNF"),Données_Planning!I314,MOD(Données_Planning!I314,60)))</f>
        <v>0</v>
      </c>
      <c r="T316" s="28" t="str">
        <f t="shared" si="42"/>
        <v>s</v>
      </c>
      <c r="U316" s="37">
        <f>(IF(OR(A316="DWF",A316="DNF"),0,QUOTIENT(Données_Planning!K314,60)))</f>
        <v>0</v>
      </c>
      <c r="V316" s="7" t="str">
        <f t="shared" si="43"/>
        <v>min</v>
      </c>
      <c r="W316" s="36">
        <f>(IF(OR(A316="DWF",A316="DNF"),Données_Planning!K314,MOD(Données_Planning!K314,60)))</f>
        <v>0</v>
      </c>
      <c r="X316" s="38" t="str">
        <f t="shared" si="44"/>
        <v>s</v>
      </c>
      <c r="Y316" s="42"/>
    </row>
    <row r="317" spans="1:25" ht="15.75" x14ac:dyDescent="0.25">
      <c r="A317" s="4">
        <f>Données_Planning!A315</f>
        <v>0</v>
      </c>
      <c r="B317" s="6">
        <f>Données_Planning!B315</f>
        <v>0</v>
      </c>
      <c r="C317" s="28">
        <f>Données_Planning!C315</f>
        <v>0</v>
      </c>
      <c r="D317" s="50">
        <f t="shared" si="36"/>
        <v>0</v>
      </c>
      <c r="E317" s="51">
        <f t="shared" si="37"/>
        <v>0</v>
      </c>
      <c r="F317" s="52">
        <f t="shared" si="38"/>
        <v>0</v>
      </c>
      <c r="G317" s="47">
        <f>Données_Planning!L315</f>
        <v>0</v>
      </c>
      <c r="H317" s="18">
        <f>Données_Planning!H315</f>
        <v>0</v>
      </c>
      <c r="I317" s="5">
        <f>Données_Planning!D315</f>
        <v>0</v>
      </c>
      <c r="J317" s="22">
        <f>Données_Planning!F315</f>
        <v>0</v>
      </c>
      <c r="K317" s="22">
        <f>Données_Planning!E315</f>
        <v>0</v>
      </c>
      <c r="L317" s="35">
        <f>Données_Planning!G315</f>
        <v>0</v>
      </c>
      <c r="M317" s="37">
        <f>(IF(OR(A317="DWF",A317="DNF"),0,QUOTIENT(Données_Planning!J315,60)))</f>
        <v>0</v>
      </c>
      <c r="N317" s="7" t="str">
        <f t="shared" si="39"/>
        <v>min</v>
      </c>
      <c r="O317" s="36">
        <f>(IF(OR(A317="DWF",A317="DNF"),Données_Planning!J315,MOD(Données_Planning!J315,60)))</f>
        <v>0</v>
      </c>
      <c r="P317" s="28" t="str">
        <f t="shared" si="40"/>
        <v>s</v>
      </c>
      <c r="Q317" s="37">
        <f>(IF(OR(A317="DWF",A317="DNF"),0,QUOTIENT(Données_Planning!I315,60)))</f>
        <v>0</v>
      </c>
      <c r="R317" s="7" t="str">
        <f t="shared" si="41"/>
        <v>min</v>
      </c>
      <c r="S317" s="36">
        <f>(IF(OR(A317="DWF",A317="DNF"),Données_Planning!I315,MOD(Données_Planning!I315,60)))</f>
        <v>0</v>
      </c>
      <c r="T317" s="28" t="str">
        <f t="shared" si="42"/>
        <v>s</v>
      </c>
      <c r="U317" s="37">
        <f>(IF(OR(A317="DWF",A317="DNF"),0,QUOTIENT(Données_Planning!K315,60)))</f>
        <v>0</v>
      </c>
      <c r="V317" s="7" t="str">
        <f t="shared" si="43"/>
        <v>min</v>
      </c>
      <c r="W317" s="36">
        <f>(IF(OR(A317="DWF",A317="DNF"),Données_Planning!K315,MOD(Données_Planning!K315,60)))</f>
        <v>0</v>
      </c>
      <c r="X317" s="38" t="str">
        <f t="shared" si="44"/>
        <v>s</v>
      </c>
      <c r="Y317" s="42"/>
    </row>
    <row r="318" spans="1:25" ht="15.75" x14ac:dyDescent="0.25">
      <c r="A318" s="4">
        <f>Données_Planning!A316</f>
        <v>0</v>
      </c>
      <c r="B318" s="6">
        <f>Données_Planning!B316</f>
        <v>0</v>
      </c>
      <c r="C318" s="28">
        <f>Données_Planning!C316</f>
        <v>0</v>
      </c>
      <c r="D318" s="50">
        <f t="shared" si="36"/>
        <v>0</v>
      </c>
      <c r="E318" s="51">
        <f t="shared" si="37"/>
        <v>0</v>
      </c>
      <c r="F318" s="52">
        <f t="shared" si="38"/>
        <v>0</v>
      </c>
      <c r="G318" s="47">
        <f>Données_Planning!L316</f>
        <v>0</v>
      </c>
      <c r="H318" s="18">
        <f>Données_Planning!H316</f>
        <v>0</v>
      </c>
      <c r="I318" s="5">
        <f>Données_Planning!D316</f>
        <v>0</v>
      </c>
      <c r="J318" s="22">
        <f>Données_Planning!F316</f>
        <v>0</v>
      </c>
      <c r="K318" s="22">
        <f>Données_Planning!E316</f>
        <v>0</v>
      </c>
      <c r="L318" s="35">
        <f>Données_Planning!G316</f>
        <v>0</v>
      </c>
      <c r="M318" s="37">
        <f>(IF(OR(A318="DWF",A318="DNF"),0,QUOTIENT(Données_Planning!J316,60)))</f>
        <v>0</v>
      </c>
      <c r="N318" s="7" t="str">
        <f t="shared" si="39"/>
        <v>min</v>
      </c>
      <c r="O318" s="36">
        <f>(IF(OR(A318="DWF",A318="DNF"),Données_Planning!J316,MOD(Données_Planning!J316,60)))</f>
        <v>0</v>
      </c>
      <c r="P318" s="28" t="str">
        <f t="shared" si="40"/>
        <v>s</v>
      </c>
      <c r="Q318" s="37">
        <f>(IF(OR(A318="DWF",A318="DNF"),0,QUOTIENT(Données_Planning!I316,60)))</f>
        <v>0</v>
      </c>
      <c r="R318" s="7" t="str">
        <f t="shared" si="41"/>
        <v>min</v>
      </c>
      <c r="S318" s="36">
        <f>(IF(OR(A318="DWF",A318="DNF"),Données_Planning!I316,MOD(Données_Planning!I316,60)))</f>
        <v>0</v>
      </c>
      <c r="T318" s="28" t="str">
        <f t="shared" si="42"/>
        <v>s</v>
      </c>
      <c r="U318" s="37">
        <f>(IF(OR(A318="DWF",A318="DNF"),0,QUOTIENT(Données_Planning!K316,60)))</f>
        <v>0</v>
      </c>
      <c r="V318" s="7" t="str">
        <f t="shared" si="43"/>
        <v>min</v>
      </c>
      <c r="W318" s="36">
        <f>(IF(OR(A318="DWF",A318="DNF"),Données_Planning!K316,MOD(Données_Planning!K316,60)))</f>
        <v>0</v>
      </c>
      <c r="X318" s="38" t="str">
        <f t="shared" si="44"/>
        <v>s</v>
      </c>
      <c r="Y318" s="42"/>
    </row>
    <row r="319" spans="1:25" ht="15.75" x14ac:dyDescent="0.25">
      <c r="A319" s="4">
        <f>Données_Planning!A317</f>
        <v>0</v>
      </c>
      <c r="B319" s="6">
        <f>Données_Planning!B317</f>
        <v>0</v>
      </c>
      <c r="C319" s="28">
        <f>Données_Planning!C317</f>
        <v>0</v>
      </c>
      <c r="D319" s="50">
        <f t="shared" si="36"/>
        <v>0</v>
      </c>
      <c r="E319" s="51">
        <f t="shared" si="37"/>
        <v>0</v>
      </c>
      <c r="F319" s="52">
        <f t="shared" si="38"/>
        <v>0</v>
      </c>
      <c r="G319" s="47">
        <f>Données_Planning!L317</f>
        <v>0</v>
      </c>
      <c r="H319" s="18">
        <f>Données_Planning!H317</f>
        <v>0</v>
      </c>
      <c r="I319" s="5">
        <f>Données_Planning!D317</f>
        <v>0</v>
      </c>
      <c r="J319" s="22">
        <f>Données_Planning!F317</f>
        <v>0</v>
      </c>
      <c r="K319" s="22">
        <f>Données_Planning!E317</f>
        <v>0</v>
      </c>
      <c r="L319" s="35">
        <f>Données_Planning!G317</f>
        <v>0</v>
      </c>
      <c r="M319" s="37">
        <f>(IF(OR(A319="DWF",A319="DNF"),0,QUOTIENT(Données_Planning!J317,60)))</f>
        <v>0</v>
      </c>
      <c r="N319" s="7" t="str">
        <f t="shared" si="39"/>
        <v>min</v>
      </c>
      <c r="O319" s="36">
        <f>(IF(OR(A319="DWF",A319="DNF"),Données_Planning!J317,MOD(Données_Planning!J317,60)))</f>
        <v>0</v>
      </c>
      <c r="P319" s="28" t="str">
        <f t="shared" si="40"/>
        <v>s</v>
      </c>
      <c r="Q319" s="37">
        <f>(IF(OR(A319="DWF",A319="DNF"),0,QUOTIENT(Données_Planning!I317,60)))</f>
        <v>0</v>
      </c>
      <c r="R319" s="7" t="str">
        <f t="shared" si="41"/>
        <v>min</v>
      </c>
      <c r="S319" s="36">
        <f>(IF(OR(A319="DWF",A319="DNF"),Données_Planning!I317,MOD(Données_Planning!I317,60)))</f>
        <v>0</v>
      </c>
      <c r="T319" s="28" t="str">
        <f t="shared" si="42"/>
        <v>s</v>
      </c>
      <c r="U319" s="37">
        <f>(IF(OR(A319="DWF",A319="DNF"),0,QUOTIENT(Données_Planning!K317,60)))</f>
        <v>0</v>
      </c>
      <c r="V319" s="7" t="str">
        <f t="shared" si="43"/>
        <v>min</v>
      </c>
      <c r="W319" s="36">
        <f>(IF(OR(A319="DWF",A319="DNF"),Données_Planning!K317,MOD(Données_Planning!K317,60)))</f>
        <v>0</v>
      </c>
      <c r="X319" s="38" t="str">
        <f t="shared" si="44"/>
        <v>s</v>
      </c>
      <c r="Y319" s="42"/>
    </row>
    <row r="320" spans="1:25" ht="15.75" x14ac:dyDescent="0.25">
      <c r="A320" s="4">
        <f>Données_Planning!A318</f>
        <v>0</v>
      </c>
      <c r="B320" s="6">
        <f>Données_Planning!B318</f>
        <v>0</v>
      </c>
      <c r="C320" s="28">
        <f>Données_Planning!C318</f>
        <v>0</v>
      </c>
      <c r="D320" s="50">
        <f t="shared" si="36"/>
        <v>0</v>
      </c>
      <c r="E320" s="51">
        <f t="shared" si="37"/>
        <v>0</v>
      </c>
      <c r="F320" s="52">
        <f t="shared" si="38"/>
        <v>0</v>
      </c>
      <c r="G320" s="47">
        <f>Données_Planning!L318</f>
        <v>0</v>
      </c>
      <c r="H320" s="18">
        <f>Données_Planning!H318</f>
        <v>0</v>
      </c>
      <c r="I320" s="5">
        <f>Données_Planning!D318</f>
        <v>0</v>
      </c>
      <c r="J320" s="22">
        <f>Données_Planning!F318</f>
        <v>0</v>
      </c>
      <c r="K320" s="22">
        <f>Données_Planning!E318</f>
        <v>0</v>
      </c>
      <c r="L320" s="35">
        <f>Données_Planning!G318</f>
        <v>0</v>
      </c>
      <c r="M320" s="37">
        <f>(IF(OR(A320="DWF",A320="DNF"),0,QUOTIENT(Données_Planning!J318,60)))</f>
        <v>0</v>
      </c>
      <c r="N320" s="7" t="str">
        <f t="shared" si="39"/>
        <v>min</v>
      </c>
      <c r="O320" s="36">
        <f>(IF(OR(A320="DWF",A320="DNF"),Données_Planning!J318,MOD(Données_Planning!J318,60)))</f>
        <v>0</v>
      </c>
      <c r="P320" s="28" t="str">
        <f t="shared" si="40"/>
        <v>s</v>
      </c>
      <c r="Q320" s="37">
        <f>(IF(OR(A320="DWF",A320="DNF"),0,QUOTIENT(Données_Planning!I318,60)))</f>
        <v>0</v>
      </c>
      <c r="R320" s="7" t="str">
        <f t="shared" si="41"/>
        <v>min</v>
      </c>
      <c r="S320" s="36">
        <f>(IF(OR(A320="DWF",A320="DNF"),Données_Planning!I318,MOD(Données_Planning!I318,60)))</f>
        <v>0</v>
      </c>
      <c r="T320" s="28" t="str">
        <f t="shared" si="42"/>
        <v>s</v>
      </c>
      <c r="U320" s="37">
        <f>(IF(OR(A320="DWF",A320="DNF"),0,QUOTIENT(Données_Planning!K318,60)))</f>
        <v>0</v>
      </c>
      <c r="V320" s="7" t="str">
        <f t="shared" si="43"/>
        <v>min</v>
      </c>
      <c r="W320" s="36">
        <f>(IF(OR(A320="DWF",A320="DNF"),Données_Planning!K318,MOD(Données_Planning!K318,60)))</f>
        <v>0</v>
      </c>
      <c r="X320" s="38" t="str">
        <f t="shared" si="44"/>
        <v>s</v>
      </c>
      <c r="Y320" s="42"/>
    </row>
    <row r="321" spans="1:25" ht="15.75" x14ac:dyDescent="0.25">
      <c r="A321" s="4">
        <f>Données_Planning!A319</f>
        <v>0</v>
      </c>
      <c r="B321" s="6">
        <f>Données_Planning!B319</f>
        <v>0</v>
      </c>
      <c r="C321" s="28">
        <f>Données_Planning!C319</f>
        <v>0</v>
      </c>
      <c r="D321" s="50">
        <f t="shared" si="36"/>
        <v>0</v>
      </c>
      <c r="E321" s="51">
        <f t="shared" si="37"/>
        <v>0</v>
      </c>
      <c r="F321" s="52">
        <f t="shared" si="38"/>
        <v>0</v>
      </c>
      <c r="G321" s="47">
        <f>Données_Planning!L319</f>
        <v>0</v>
      </c>
      <c r="H321" s="18">
        <f>Données_Planning!H319</f>
        <v>0</v>
      </c>
      <c r="I321" s="5">
        <f>Données_Planning!D319</f>
        <v>0</v>
      </c>
      <c r="J321" s="22">
        <f>Données_Planning!F319</f>
        <v>0</v>
      </c>
      <c r="K321" s="22">
        <f>Données_Planning!E319</f>
        <v>0</v>
      </c>
      <c r="L321" s="35">
        <f>Données_Planning!G319</f>
        <v>0</v>
      </c>
      <c r="M321" s="37">
        <f>(IF(OR(A321="DWF",A321="DNF"),0,QUOTIENT(Données_Planning!J319,60)))</f>
        <v>0</v>
      </c>
      <c r="N321" s="7" t="str">
        <f t="shared" si="39"/>
        <v>min</v>
      </c>
      <c r="O321" s="36">
        <f>(IF(OR(A321="DWF",A321="DNF"),Données_Planning!J319,MOD(Données_Planning!J319,60)))</f>
        <v>0</v>
      </c>
      <c r="P321" s="28" t="str">
        <f t="shared" si="40"/>
        <v>s</v>
      </c>
      <c r="Q321" s="37">
        <f>(IF(OR(A321="DWF",A321="DNF"),0,QUOTIENT(Données_Planning!I319,60)))</f>
        <v>0</v>
      </c>
      <c r="R321" s="7" t="str">
        <f t="shared" si="41"/>
        <v>min</v>
      </c>
      <c r="S321" s="36">
        <f>(IF(OR(A321="DWF",A321="DNF"),Données_Planning!I319,MOD(Données_Planning!I319,60)))</f>
        <v>0</v>
      </c>
      <c r="T321" s="28" t="str">
        <f t="shared" si="42"/>
        <v>s</v>
      </c>
      <c r="U321" s="37">
        <f>(IF(OR(A321="DWF",A321="DNF"),0,QUOTIENT(Données_Planning!K319,60)))</f>
        <v>0</v>
      </c>
      <c r="V321" s="7" t="str">
        <f t="shared" si="43"/>
        <v>min</v>
      </c>
      <c r="W321" s="36">
        <f>(IF(OR(A321="DWF",A321="DNF"),Données_Planning!K319,MOD(Données_Planning!K319,60)))</f>
        <v>0</v>
      </c>
      <c r="X321" s="38" t="str">
        <f t="shared" si="44"/>
        <v>s</v>
      </c>
      <c r="Y321" s="42"/>
    </row>
    <row r="322" spans="1:25" ht="15.75" x14ac:dyDescent="0.25">
      <c r="A322" s="4">
        <f>Données_Planning!A320</f>
        <v>0</v>
      </c>
      <c r="B322" s="6">
        <f>Données_Planning!B320</f>
        <v>0</v>
      </c>
      <c r="C322" s="28">
        <f>Données_Planning!C320</f>
        <v>0</v>
      </c>
      <c r="D322" s="50">
        <f t="shared" si="36"/>
        <v>0</v>
      </c>
      <c r="E322" s="51">
        <f t="shared" si="37"/>
        <v>0</v>
      </c>
      <c r="F322" s="52">
        <f t="shared" si="38"/>
        <v>0</v>
      </c>
      <c r="G322" s="47">
        <f>Données_Planning!L320</f>
        <v>0</v>
      </c>
      <c r="H322" s="18">
        <f>Données_Planning!H320</f>
        <v>0</v>
      </c>
      <c r="I322" s="5">
        <f>Données_Planning!D320</f>
        <v>0</v>
      </c>
      <c r="J322" s="22">
        <f>Données_Planning!F320</f>
        <v>0</v>
      </c>
      <c r="K322" s="22">
        <f>Données_Planning!E320</f>
        <v>0</v>
      </c>
      <c r="L322" s="35">
        <f>Données_Planning!G320</f>
        <v>0</v>
      </c>
      <c r="M322" s="37">
        <f>(IF(OR(A322="DWF",A322="DNF"),0,QUOTIENT(Données_Planning!J320,60)))</f>
        <v>0</v>
      </c>
      <c r="N322" s="7" t="str">
        <f t="shared" si="39"/>
        <v>min</v>
      </c>
      <c r="O322" s="36">
        <f>(IF(OR(A322="DWF",A322="DNF"),Données_Planning!J320,MOD(Données_Planning!J320,60)))</f>
        <v>0</v>
      </c>
      <c r="P322" s="28" t="str">
        <f t="shared" si="40"/>
        <v>s</v>
      </c>
      <c r="Q322" s="37">
        <f>(IF(OR(A322="DWF",A322="DNF"),0,QUOTIENT(Données_Planning!I320,60)))</f>
        <v>0</v>
      </c>
      <c r="R322" s="7" t="str">
        <f t="shared" si="41"/>
        <v>min</v>
      </c>
      <c r="S322" s="36">
        <f>(IF(OR(A322="DWF",A322="DNF"),Données_Planning!I320,MOD(Données_Planning!I320,60)))</f>
        <v>0</v>
      </c>
      <c r="T322" s="28" t="str">
        <f t="shared" si="42"/>
        <v>s</v>
      </c>
      <c r="U322" s="37">
        <f>(IF(OR(A322="DWF",A322="DNF"),0,QUOTIENT(Données_Planning!K320,60)))</f>
        <v>0</v>
      </c>
      <c r="V322" s="7" t="str">
        <f t="shared" si="43"/>
        <v>min</v>
      </c>
      <c r="W322" s="36">
        <f>(IF(OR(A322="DWF",A322="DNF"),Données_Planning!K320,MOD(Données_Planning!K320,60)))</f>
        <v>0</v>
      </c>
      <c r="X322" s="38" t="str">
        <f t="shared" si="44"/>
        <v>s</v>
      </c>
      <c r="Y322" s="42"/>
    </row>
    <row r="323" spans="1:25" ht="15.75" x14ac:dyDescent="0.25">
      <c r="A323" s="4">
        <f>Données_Planning!A321</f>
        <v>0</v>
      </c>
      <c r="B323" s="6">
        <f>Données_Planning!B321</f>
        <v>0</v>
      </c>
      <c r="C323" s="28">
        <f>Données_Planning!C321</f>
        <v>0</v>
      </c>
      <c r="D323" s="50">
        <f t="shared" si="36"/>
        <v>0</v>
      </c>
      <c r="E323" s="51">
        <f t="shared" si="37"/>
        <v>0</v>
      </c>
      <c r="F323" s="52">
        <f t="shared" si="38"/>
        <v>0</v>
      </c>
      <c r="G323" s="47">
        <f>Données_Planning!L321</f>
        <v>0</v>
      </c>
      <c r="H323" s="18">
        <f>Données_Planning!H321</f>
        <v>0</v>
      </c>
      <c r="I323" s="5">
        <f>Données_Planning!D321</f>
        <v>0</v>
      </c>
      <c r="J323" s="22">
        <f>Données_Planning!F321</f>
        <v>0</v>
      </c>
      <c r="K323" s="22">
        <f>Données_Planning!E321</f>
        <v>0</v>
      </c>
      <c r="L323" s="35">
        <f>Données_Planning!G321</f>
        <v>0</v>
      </c>
      <c r="M323" s="37">
        <f>(IF(OR(A323="DWF",A323="DNF"),0,QUOTIENT(Données_Planning!J321,60)))</f>
        <v>0</v>
      </c>
      <c r="N323" s="7" t="str">
        <f t="shared" si="39"/>
        <v>min</v>
      </c>
      <c r="O323" s="36">
        <f>(IF(OR(A323="DWF",A323="DNF"),Données_Planning!J321,MOD(Données_Planning!J321,60)))</f>
        <v>0</v>
      </c>
      <c r="P323" s="28" t="str">
        <f t="shared" si="40"/>
        <v>s</v>
      </c>
      <c r="Q323" s="37">
        <f>(IF(OR(A323="DWF",A323="DNF"),0,QUOTIENT(Données_Planning!I321,60)))</f>
        <v>0</v>
      </c>
      <c r="R323" s="7" t="str">
        <f t="shared" si="41"/>
        <v>min</v>
      </c>
      <c r="S323" s="36">
        <f>(IF(OR(A323="DWF",A323="DNF"),Données_Planning!I321,MOD(Données_Planning!I321,60)))</f>
        <v>0</v>
      </c>
      <c r="T323" s="28" t="str">
        <f t="shared" si="42"/>
        <v>s</v>
      </c>
      <c r="U323" s="37">
        <f>(IF(OR(A323="DWF",A323="DNF"),0,QUOTIENT(Données_Planning!K321,60)))</f>
        <v>0</v>
      </c>
      <c r="V323" s="7" t="str">
        <f t="shared" si="43"/>
        <v>min</v>
      </c>
      <c r="W323" s="36">
        <f>(IF(OR(A323="DWF",A323="DNF"),Données_Planning!K321,MOD(Données_Planning!K321,60)))</f>
        <v>0</v>
      </c>
      <c r="X323" s="38" t="str">
        <f t="shared" si="44"/>
        <v>s</v>
      </c>
      <c r="Y323" s="42"/>
    </row>
    <row r="324" spans="1:25" ht="15.75" x14ac:dyDescent="0.25">
      <c r="A324" s="4">
        <f>Données_Planning!A322</f>
        <v>0</v>
      </c>
      <c r="B324" s="6">
        <f>Données_Planning!B322</f>
        <v>0</v>
      </c>
      <c r="C324" s="28">
        <f>Données_Planning!C322</f>
        <v>0</v>
      </c>
      <c r="D324" s="50">
        <f t="shared" si="36"/>
        <v>0</v>
      </c>
      <c r="E324" s="51">
        <f t="shared" si="37"/>
        <v>0</v>
      </c>
      <c r="F324" s="52">
        <f t="shared" si="38"/>
        <v>0</v>
      </c>
      <c r="G324" s="47">
        <f>Données_Planning!L322</f>
        <v>0</v>
      </c>
      <c r="H324" s="18">
        <f>Données_Planning!H322</f>
        <v>0</v>
      </c>
      <c r="I324" s="5">
        <f>Données_Planning!D322</f>
        <v>0</v>
      </c>
      <c r="J324" s="22">
        <f>Données_Planning!F322</f>
        <v>0</v>
      </c>
      <c r="K324" s="22">
        <f>Données_Planning!E322</f>
        <v>0</v>
      </c>
      <c r="L324" s="35">
        <f>Données_Planning!G322</f>
        <v>0</v>
      </c>
      <c r="M324" s="37">
        <f>(IF(OR(A324="DWF",A324="DNF"),0,QUOTIENT(Données_Planning!J322,60)))</f>
        <v>0</v>
      </c>
      <c r="N324" s="7" t="str">
        <f t="shared" si="39"/>
        <v>min</v>
      </c>
      <c r="O324" s="36">
        <f>(IF(OR(A324="DWF",A324="DNF"),Données_Planning!J322,MOD(Données_Planning!J322,60)))</f>
        <v>0</v>
      </c>
      <c r="P324" s="28" t="str">
        <f t="shared" si="40"/>
        <v>s</v>
      </c>
      <c r="Q324" s="37">
        <f>(IF(OR(A324="DWF",A324="DNF"),0,QUOTIENT(Données_Planning!I322,60)))</f>
        <v>0</v>
      </c>
      <c r="R324" s="7" t="str">
        <f t="shared" si="41"/>
        <v>min</v>
      </c>
      <c r="S324" s="36">
        <f>(IF(OR(A324="DWF",A324="DNF"),Données_Planning!I322,MOD(Données_Planning!I322,60)))</f>
        <v>0</v>
      </c>
      <c r="T324" s="28" t="str">
        <f t="shared" si="42"/>
        <v>s</v>
      </c>
      <c r="U324" s="37">
        <f>(IF(OR(A324="DWF",A324="DNF"),0,QUOTIENT(Données_Planning!K322,60)))</f>
        <v>0</v>
      </c>
      <c r="V324" s="7" t="str">
        <f t="shared" si="43"/>
        <v>min</v>
      </c>
      <c r="W324" s="36">
        <f>(IF(OR(A324="DWF",A324="DNF"),Données_Planning!K322,MOD(Données_Planning!K322,60)))</f>
        <v>0</v>
      </c>
      <c r="X324" s="38" t="str">
        <f t="shared" si="44"/>
        <v>s</v>
      </c>
      <c r="Y324" s="42"/>
    </row>
    <row r="325" spans="1:25" ht="15.75" x14ac:dyDescent="0.25">
      <c r="A325" s="4">
        <f>Données_Planning!A323</f>
        <v>0</v>
      </c>
      <c r="B325" s="6">
        <f>Données_Planning!B323</f>
        <v>0</v>
      </c>
      <c r="C325" s="28">
        <f>Données_Planning!C323</f>
        <v>0</v>
      </c>
      <c r="D325" s="50">
        <f t="shared" ref="D325:D388" si="45">IF(G325 -TIME(0,$D$3,0)&gt;0, G325 -TIME(0,$D$3,0), 0)</f>
        <v>0</v>
      </c>
      <c r="E325" s="51">
        <f t="shared" ref="E325:E388" si="46">IF(G325 -TIME(0,$E$3,0)&gt;0, G325 -TIME(0,$E$3,0), 0)</f>
        <v>0</v>
      </c>
      <c r="F325" s="52">
        <f t="shared" ref="F325:F388" si="47">IF(G325 -TIME(0,$F$3,0)&gt;0, G325 -TIME(0,$F$3,0), 0)</f>
        <v>0</v>
      </c>
      <c r="G325" s="47">
        <f>Données_Planning!L323</f>
        <v>0</v>
      </c>
      <c r="H325" s="18">
        <f>Données_Planning!H323</f>
        <v>0</v>
      </c>
      <c r="I325" s="5">
        <f>Données_Planning!D323</f>
        <v>0</v>
      </c>
      <c r="J325" s="22">
        <f>Données_Planning!F323</f>
        <v>0</v>
      </c>
      <c r="K325" s="22">
        <f>Données_Planning!E323</f>
        <v>0</v>
      </c>
      <c r="L325" s="35">
        <f>Données_Planning!G323</f>
        <v>0</v>
      </c>
      <c r="M325" s="37">
        <f>(IF(OR(A325="DWF",A325="DNF"),0,QUOTIENT(Données_Planning!J323,60)))</f>
        <v>0</v>
      </c>
      <c r="N325" s="7" t="str">
        <f t="shared" ref="N325:N388" si="48">(IF(OR(A325="DWF",A325="DNF"),0,"min"))</f>
        <v>min</v>
      </c>
      <c r="O325" s="36">
        <f>(IF(OR(A325="DWF",A325="DNF"),Données_Planning!J323,MOD(Données_Planning!J323,60)))</f>
        <v>0</v>
      </c>
      <c r="P325" s="28" t="str">
        <f t="shared" ref="P325:P388" si="49">(IF(OR(A325="DWF",A325="DNF"),"m","s"))</f>
        <v>s</v>
      </c>
      <c r="Q325" s="37">
        <f>(IF(OR(A325="DWF",A325="DNF"),0,QUOTIENT(Données_Planning!I323,60)))</f>
        <v>0</v>
      </c>
      <c r="R325" s="7" t="str">
        <f t="shared" ref="R325:R388" si="50">(IF(OR(A325="DWF",A325="DNF"),0,"min"))</f>
        <v>min</v>
      </c>
      <c r="S325" s="36">
        <f>(IF(OR(A325="DWF",A325="DNF"),Données_Planning!I323,MOD(Données_Planning!I323,60)))</f>
        <v>0</v>
      </c>
      <c r="T325" s="28" t="str">
        <f t="shared" ref="T325:T388" si="51">(IF(OR(A325="DWF",A325="DNF"),"m","s"))</f>
        <v>s</v>
      </c>
      <c r="U325" s="37">
        <f>(IF(OR(A325="DWF",A325="DNF"),0,QUOTIENT(Données_Planning!K323,60)))</f>
        <v>0</v>
      </c>
      <c r="V325" s="7" t="str">
        <f t="shared" ref="V325:V388" si="52">(IF(OR(A325="DWF",A325="DNF"),0,"min"))</f>
        <v>min</v>
      </c>
      <c r="W325" s="36">
        <f>(IF(OR(A325="DWF",A325="DNF"),Données_Planning!K323,MOD(Données_Planning!K323,60)))</f>
        <v>0</v>
      </c>
      <c r="X325" s="38" t="str">
        <f t="shared" ref="X325:X388" si="53">(IF(OR(A325="DWF",A325="DNF"),"m","s"))</f>
        <v>s</v>
      </c>
      <c r="Y325" s="42"/>
    </row>
    <row r="326" spans="1:25" ht="15.75" x14ac:dyDescent="0.25">
      <c r="A326" s="4">
        <f>Données_Planning!A324</f>
        <v>0</v>
      </c>
      <c r="B326" s="6">
        <f>Données_Planning!B324</f>
        <v>0</v>
      </c>
      <c r="C326" s="28">
        <f>Données_Planning!C324</f>
        <v>0</v>
      </c>
      <c r="D326" s="50">
        <f t="shared" si="45"/>
        <v>0</v>
      </c>
      <c r="E326" s="51">
        <f t="shared" si="46"/>
        <v>0</v>
      </c>
      <c r="F326" s="52">
        <f t="shared" si="47"/>
        <v>0</v>
      </c>
      <c r="G326" s="47">
        <f>Données_Planning!L324</f>
        <v>0</v>
      </c>
      <c r="H326" s="18">
        <f>Données_Planning!H324</f>
        <v>0</v>
      </c>
      <c r="I326" s="5">
        <f>Données_Planning!D324</f>
        <v>0</v>
      </c>
      <c r="J326" s="22">
        <f>Données_Planning!F324</f>
        <v>0</v>
      </c>
      <c r="K326" s="22">
        <f>Données_Planning!E324</f>
        <v>0</v>
      </c>
      <c r="L326" s="35">
        <f>Données_Planning!G324</f>
        <v>0</v>
      </c>
      <c r="M326" s="37">
        <f>(IF(OR(A326="DWF",A326="DNF"),0,QUOTIENT(Données_Planning!J324,60)))</f>
        <v>0</v>
      </c>
      <c r="N326" s="7" t="str">
        <f t="shared" si="48"/>
        <v>min</v>
      </c>
      <c r="O326" s="36">
        <f>(IF(OR(A326="DWF",A326="DNF"),Données_Planning!J324,MOD(Données_Planning!J324,60)))</f>
        <v>0</v>
      </c>
      <c r="P326" s="28" t="str">
        <f t="shared" si="49"/>
        <v>s</v>
      </c>
      <c r="Q326" s="37">
        <f>(IF(OR(A326="DWF",A326="DNF"),0,QUOTIENT(Données_Planning!I324,60)))</f>
        <v>0</v>
      </c>
      <c r="R326" s="7" t="str">
        <f t="shared" si="50"/>
        <v>min</v>
      </c>
      <c r="S326" s="36">
        <f>(IF(OR(A326="DWF",A326="DNF"),Données_Planning!I324,MOD(Données_Planning!I324,60)))</f>
        <v>0</v>
      </c>
      <c r="T326" s="28" t="str">
        <f t="shared" si="51"/>
        <v>s</v>
      </c>
      <c r="U326" s="37">
        <f>(IF(OR(A326="DWF",A326="DNF"),0,QUOTIENT(Données_Planning!K324,60)))</f>
        <v>0</v>
      </c>
      <c r="V326" s="7" t="str">
        <f t="shared" si="52"/>
        <v>min</v>
      </c>
      <c r="W326" s="36">
        <f>(IF(OR(A326="DWF",A326="DNF"),Données_Planning!K324,MOD(Données_Planning!K324,60)))</f>
        <v>0</v>
      </c>
      <c r="X326" s="38" t="str">
        <f t="shared" si="53"/>
        <v>s</v>
      </c>
      <c r="Y326" s="42"/>
    </row>
    <row r="327" spans="1:25" ht="15.75" x14ac:dyDescent="0.25">
      <c r="A327" s="4">
        <f>Données_Planning!A325</f>
        <v>0</v>
      </c>
      <c r="B327" s="6">
        <f>Données_Planning!B325</f>
        <v>0</v>
      </c>
      <c r="C327" s="28">
        <f>Données_Planning!C325</f>
        <v>0</v>
      </c>
      <c r="D327" s="50">
        <f t="shared" si="45"/>
        <v>0</v>
      </c>
      <c r="E327" s="51">
        <f t="shared" si="46"/>
        <v>0</v>
      </c>
      <c r="F327" s="52">
        <f t="shared" si="47"/>
        <v>0</v>
      </c>
      <c r="G327" s="47">
        <f>Données_Planning!L325</f>
        <v>0</v>
      </c>
      <c r="H327" s="18">
        <f>Données_Planning!H325</f>
        <v>0</v>
      </c>
      <c r="I327" s="5">
        <f>Données_Planning!D325</f>
        <v>0</v>
      </c>
      <c r="J327" s="22">
        <f>Données_Planning!F325</f>
        <v>0</v>
      </c>
      <c r="K327" s="22">
        <f>Données_Planning!E325</f>
        <v>0</v>
      </c>
      <c r="L327" s="35">
        <f>Données_Planning!G325</f>
        <v>0</v>
      </c>
      <c r="M327" s="37">
        <f>(IF(OR(A327="DWF",A327="DNF"),0,QUOTIENT(Données_Planning!J325,60)))</f>
        <v>0</v>
      </c>
      <c r="N327" s="7" t="str">
        <f t="shared" si="48"/>
        <v>min</v>
      </c>
      <c r="O327" s="36">
        <f>(IF(OR(A327="DWF",A327="DNF"),Données_Planning!J325,MOD(Données_Planning!J325,60)))</f>
        <v>0</v>
      </c>
      <c r="P327" s="28" t="str">
        <f t="shared" si="49"/>
        <v>s</v>
      </c>
      <c r="Q327" s="37">
        <f>(IF(OR(A327="DWF",A327="DNF"),0,QUOTIENT(Données_Planning!I325,60)))</f>
        <v>0</v>
      </c>
      <c r="R327" s="7" t="str">
        <f t="shared" si="50"/>
        <v>min</v>
      </c>
      <c r="S327" s="36">
        <f>(IF(OR(A327="DWF",A327="DNF"),Données_Planning!I325,MOD(Données_Planning!I325,60)))</f>
        <v>0</v>
      </c>
      <c r="T327" s="28" t="str">
        <f t="shared" si="51"/>
        <v>s</v>
      </c>
      <c r="U327" s="37">
        <f>(IF(OR(A327="DWF",A327="DNF"),0,QUOTIENT(Données_Planning!K325,60)))</f>
        <v>0</v>
      </c>
      <c r="V327" s="7" t="str">
        <f t="shared" si="52"/>
        <v>min</v>
      </c>
      <c r="W327" s="36">
        <f>(IF(OR(A327="DWF",A327="DNF"),Données_Planning!K325,MOD(Données_Planning!K325,60)))</f>
        <v>0</v>
      </c>
      <c r="X327" s="38" t="str">
        <f t="shared" si="53"/>
        <v>s</v>
      </c>
      <c r="Y327" s="42"/>
    </row>
    <row r="328" spans="1:25" ht="15.75" x14ac:dyDescent="0.25">
      <c r="A328" s="4">
        <f>Données_Planning!A326</f>
        <v>0</v>
      </c>
      <c r="B328" s="6">
        <f>Données_Planning!B326</f>
        <v>0</v>
      </c>
      <c r="C328" s="28">
        <f>Données_Planning!C326</f>
        <v>0</v>
      </c>
      <c r="D328" s="50">
        <f t="shared" si="45"/>
        <v>0</v>
      </c>
      <c r="E328" s="51">
        <f t="shared" si="46"/>
        <v>0</v>
      </c>
      <c r="F328" s="52">
        <f t="shared" si="47"/>
        <v>0</v>
      </c>
      <c r="G328" s="47">
        <f>Données_Planning!L326</f>
        <v>0</v>
      </c>
      <c r="H328" s="18">
        <f>Données_Planning!H326</f>
        <v>0</v>
      </c>
      <c r="I328" s="5">
        <f>Données_Planning!D326</f>
        <v>0</v>
      </c>
      <c r="J328" s="22">
        <f>Données_Planning!F326</f>
        <v>0</v>
      </c>
      <c r="K328" s="22">
        <f>Données_Planning!E326</f>
        <v>0</v>
      </c>
      <c r="L328" s="35">
        <f>Données_Planning!G326</f>
        <v>0</v>
      </c>
      <c r="M328" s="37">
        <f>(IF(OR(A328="DWF",A328="DNF"),0,QUOTIENT(Données_Planning!J326,60)))</f>
        <v>0</v>
      </c>
      <c r="N328" s="7" t="str">
        <f t="shared" si="48"/>
        <v>min</v>
      </c>
      <c r="O328" s="36">
        <f>(IF(OR(A328="DWF",A328="DNF"),Données_Planning!J326,MOD(Données_Planning!J326,60)))</f>
        <v>0</v>
      </c>
      <c r="P328" s="28" t="str">
        <f t="shared" si="49"/>
        <v>s</v>
      </c>
      <c r="Q328" s="37">
        <f>(IF(OR(A328="DWF",A328="DNF"),0,QUOTIENT(Données_Planning!I326,60)))</f>
        <v>0</v>
      </c>
      <c r="R328" s="7" t="str">
        <f t="shared" si="50"/>
        <v>min</v>
      </c>
      <c r="S328" s="36">
        <f>(IF(OR(A328="DWF",A328="DNF"),Données_Planning!I326,MOD(Données_Planning!I326,60)))</f>
        <v>0</v>
      </c>
      <c r="T328" s="28" t="str">
        <f t="shared" si="51"/>
        <v>s</v>
      </c>
      <c r="U328" s="37">
        <f>(IF(OR(A328="DWF",A328="DNF"),0,QUOTIENT(Données_Planning!K326,60)))</f>
        <v>0</v>
      </c>
      <c r="V328" s="7" t="str">
        <f t="shared" si="52"/>
        <v>min</v>
      </c>
      <c r="W328" s="36">
        <f>(IF(OR(A328="DWF",A328="DNF"),Données_Planning!K326,MOD(Données_Planning!K326,60)))</f>
        <v>0</v>
      </c>
      <c r="X328" s="38" t="str">
        <f t="shared" si="53"/>
        <v>s</v>
      </c>
      <c r="Y328" s="42"/>
    </row>
    <row r="329" spans="1:25" ht="15.75" x14ac:dyDescent="0.25">
      <c r="A329" s="4">
        <f>Données_Planning!A327</f>
        <v>0</v>
      </c>
      <c r="B329" s="6">
        <f>Données_Planning!B327</f>
        <v>0</v>
      </c>
      <c r="C329" s="28">
        <f>Données_Planning!C327</f>
        <v>0</v>
      </c>
      <c r="D329" s="50">
        <f t="shared" si="45"/>
        <v>0</v>
      </c>
      <c r="E329" s="51">
        <f t="shared" si="46"/>
        <v>0</v>
      </c>
      <c r="F329" s="52">
        <f t="shared" si="47"/>
        <v>0</v>
      </c>
      <c r="G329" s="47">
        <f>Données_Planning!L327</f>
        <v>0</v>
      </c>
      <c r="H329" s="18">
        <f>Données_Planning!H327</f>
        <v>0</v>
      </c>
      <c r="I329" s="5">
        <f>Données_Planning!D327</f>
        <v>0</v>
      </c>
      <c r="J329" s="22">
        <f>Données_Planning!F327</f>
        <v>0</v>
      </c>
      <c r="K329" s="22">
        <f>Données_Planning!E327</f>
        <v>0</v>
      </c>
      <c r="L329" s="35">
        <f>Données_Planning!G327</f>
        <v>0</v>
      </c>
      <c r="M329" s="37">
        <f>(IF(OR(A329="DWF",A329="DNF"),0,QUOTIENT(Données_Planning!J327,60)))</f>
        <v>0</v>
      </c>
      <c r="N329" s="7" t="str">
        <f t="shared" si="48"/>
        <v>min</v>
      </c>
      <c r="O329" s="36">
        <f>(IF(OR(A329="DWF",A329="DNF"),Données_Planning!J327,MOD(Données_Planning!J327,60)))</f>
        <v>0</v>
      </c>
      <c r="P329" s="28" t="str">
        <f t="shared" si="49"/>
        <v>s</v>
      </c>
      <c r="Q329" s="37">
        <f>(IF(OR(A329="DWF",A329="DNF"),0,QUOTIENT(Données_Planning!I327,60)))</f>
        <v>0</v>
      </c>
      <c r="R329" s="7" t="str">
        <f t="shared" si="50"/>
        <v>min</v>
      </c>
      <c r="S329" s="36">
        <f>(IF(OR(A329="DWF",A329="DNF"),Données_Planning!I327,MOD(Données_Planning!I327,60)))</f>
        <v>0</v>
      </c>
      <c r="T329" s="28" t="str">
        <f t="shared" si="51"/>
        <v>s</v>
      </c>
      <c r="U329" s="37">
        <f>(IF(OR(A329="DWF",A329="DNF"),0,QUOTIENT(Données_Planning!K327,60)))</f>
        <v>0</v>
      </c>
      <c r="V329" s="7" t="str">
        <f t="shared" si="52"/>
        <v>min</v>
      </c>
      <c r="W329" s="36">
        <f>(IF(OR(A329="DWF",A329="DNF"),Données_Planning!K327,MOD(Données_Planning!K327,60)))</f>
        <v>0</v>
      </c>
      <c r="X329" s="38" t="str">
        <f t="shared" si="53"/>
        <v>s</v>
      </c>
      <c r="Y329" s="42"/>
    </row>
    <row r="330" spans="1:25" ht="15.75" x14ac:dyDescent="0.25">
      <c r="A330" s="4">
        <f>Données_Planning!A328</f>
        <v>0</v>
      </c>
      <c r="B330" s="6">
        <f>Données_Planning!B328</f>
        <v>0</v>
      </c>
      <c r="C330" s="28">
        <f>Données_Planning!C328</f>
        <v>0</v>
      </c>
      <c r="D330" s="50">
        <f t="shared" si="45"/>
        <v>0</v>
      </c>
      <c r="E330" s="51">
        <f t="shared" si="46"/>
        <v>0</v>
      </c>
      <c r="F330" s="52">
        <f t="shared" si="47"/>
        <v>0</v>
      </c>
      <c r="G330" s="47">
        <f>Données_Planning!L328</f>
        <v>0</v>
      </c>
      <c r="H330" s="18">
        <f>Données_Planning!H328</f>
        <v>0</v>
      </c>
      <c r="I330" s="5">
        <f>Données_Planning!D328</f>
        <v>0</v>
      </c>
      <c r="J330" s="22">
        <f>Données_Planning!F328</f>
        <v>0</v>
      </c>
      <c r="K330" s="22">
        <f>Données_Planning!E328</f>
        <v>0</v>
      </c>
      <c r="L330" s="35">
        <f>Données_Planning!G328</f>
        <v>0</v>
      </c>
      <c r="M330" s="37">
        <f>(IF(OR(A330="DWF",A330="DNF"),0,QUOTIENT(Données_Planning!J328,60)))</f>
        <v>0</v>
      </c>
      <c r="N330" s="7" t="str">
        <f t="shared" si="48"/>
        <v>min</v>
      </c>
      <c r="O330" s="36">
        <f>(IF(OR(A330="DWF",A330="DNF"),Données_Planning!J328,MOD(Données_Planning!J328,60)))</f>
        <v>0</v>
      </c>
      <c r="P330" s="28" t="str">
        <f t="shared" si="49"/>
        <v>s</v>
      </c>
      <c r="Q330" s="37">
        <f>(IF(OR(A330="DWF",A330="DNF"),0,QUOTIENT(Données_Planning!I328,60)))</f>
        <v>0</v>
      </c>
      <c r="R330" s="7" t="str">
        <f t="shared" si="50"/>
        <v>min</v>
      </c>
      <c r="S330" s="36">
        <f>(IF(OR(A330="DWF",A330="DNF"),Données_Planning!I328,MOD(Données_Planning!I328,60)))</f>
        <v>0</v>
      </c>
      <c r="T330" s="28" t="str">
        <f t="shared" si="51"/>
        <v>s</v>
      </c>
      <c r="U330" s="37">
        <f>(IF(OR(A330="DWF",A330="DNF"),0,QUOTIENT(Données_Planning!K328,60)))</f>
        <v>0</v>
      </c>
      <c r="V330" s="7" t="str">
        <f t="shared" si="52"/>
        <v>min</v>
      </c>
      <c r="W330" s="36">
        <f>(IF(OR(A330="DWF",A330="DNF"),Données_Planning!K328,MOD(Données_Planning!K328,60)))</f>
        <v>0</v>
      </c>
      <c r="X330" s="38" t="str">
        <f t="shared" si="53"/>
        <v>s</v>
      </c>
      <c r="Y330" s="42"/>
    </row>
    <row r="331" spans="1:25" ht="15.75" x14ac:dyDescent="0.25">
      <c r="A331" s="4">
        <f>Données_Planning!A329</f>
        <v>0</v>
      </c>
      <c r="B331" s="6">
        <f>Données_Planning!B329</f>
        <v>0</v>
      </c>
      <c r="C331" s="28">
        <f>Données_Planning!C329</f>
        <v>0</v>
      </c>
      <c r="D331" s="50">
        <f t="shared" si="45"/>
        <v>0</v>
      </c>
      <c r="E331" s="51">
        <f t="shared" si="46"/>
        <v>0</v>
      </c>
      <c r="F331" s="52">
        <f t="shared" si="47"/>
        <v>0</v>
      </c>
      <c r="G331" s="47">
        <f>Données_Planning!L329</f>
        <v>0</v>
      </c>
      <c r="H331" s="18">
        <f>Données_Planning!H329</f>
        <v>0</v>
      </c>
      <c r="I331" s="5">
        <f>Données_Planning!D329</f>
        <v>0</v>
      </c>
      <c r="J331" s="22">
        <f>Données_Planning!F329</f>
        <v>0</v>
      </c>
      <c r="K331" s="22">
        <f>Données_Planning!E329</f>
        <v>0</v>
      </c>
      <c r="L331" s="35">
        <f>Données_Planning!G329</f>
        <v>0</v>
      </c>
      <c r="M331" s="37">
        <f>(IF(OR(A331="DWF",A331="DNF"),0,QUOTIENT(Données_Planning!J329,60)))</f>
        <v>0</v>
      </c>
      <c r="N331" s="7" t="str">
        <f t="shared" si="48"/>
        <v>min</v>
      </c>
      <c r="O331" s="36">
        <f>(IF(OR(A331="DWF",A331="DNF"),Données_Planning!J329,MOD(Données_Planning!J329,60)))</f>
        <v>0</v>
      </c>
      <c r="P331" s="28" t="str">
        <f t="shared" si="49"/>
        <v>s</v>
      </c>
      <c r="Q331" s="37">
        <f>(IF(OR(A331="DWF",A331="DNF"),0,QUOTIENT(Données_Planning!I329,60)))</f>
        <v>0</v>
      </c>
      <c r="R331" s="7" t="str">
        <f t="shared" si="50"/>
        <v>min</v>
      </c>
      <c r="S331" s="36">
        <f>(IF(OR(A331="DWF",A331="DNF"),Données_Planning!I329,MOD(Données_Planning!I329,60)))</f>
        <v>0</v>
      </c>
      <c r="T331" s="28" t="str">
        <f t="shared" si="51"/>
        <v>s</v>
      </c>
      <c r="U331" s="37">
        <f>(IF(OR(A331="DWF",A331="DNF"),0,QUOTIENT(Données_Planning!K329,60)))</f>
        <v>0</v>
      </c>
      <c r="V331" s="7" t="str">
        <f t="shared" si="52"/>
        <v>min</v>
      </c>
      <c r="W331" s="36">
        <f>(IF(OR(A331="DWF",A331="DNF"),Données_Planning!K329,MOD(Données_Planning!K329,60)))</f>
        <v>0</v>
      </c>
      <c r="X331" s="38" t="str">
        <f t="shared" si="53"/>
        <v>s</v>
      </c>
      <c r="Y331" s="42"/>
    </row>
    <row r="332" spans="1:25" ht="15.75" x14ac:dyDescent="0.25">
      <c r="A332" s="4">
        <f>Données_Planning!A330</f>
        <v>0</v>
      </c>
      <c r="B332" s="6">
        <f>Données_Planning!B330</f>
        <v>0</v>
      </c>
      <c r="C332" s="28">
        <f>Données_Planning!C330</f>
        <v>0</v>
      </c>
      <c r="D332" s="50">
        <f t="shared" si="45"/>
        <v>0</v>
      </c>
      <c r="E332" s="51">
        <f t="shared" si="46"/>
        <v>0</v>
      </c>
      <c r="F332" s="52">
        <f t="shared" si="47"/>
        <v>0</v>
      </c>
      <c r="G332" s="47">
        <f>Données_Planning!L330</f>
        <v>0</v>
      </c>
      <c r="H332" s="18">
        <f>Données_Planning!H330</f>
        <v>0</v>
      </c>
      <c r="I332" s="5">
        <f>Données_Planning!D330</f>
        <v>0</v>
      </c>
      <c r="J332" s="22">
        <f>Données_Planning!F330</f>
        <v>0</v>
      </c>
      <c r="K332" s="22">
        <f>Données_Planning!E330</f>
        <v>0</v>
      </c>
      <c r="L332" s="35">
        <f>Données_Planning!G330</f>
        <v>0</v>
      </c>
      <c r="M332" s="37">
        <f>(IF(OR(A332="DWF",A332="DNF"),0,QUOTIENT(Données_Planning!J330,60)))</f>
        <v>0</v>
      </c>
      <c r="N332" s="7" t="str">
        <f t="shared" si="48"/>
        <v>min</v>
      </c>
      <c r="O332" s="36">
        <f>(IF(OR(A332="DWF",A332="DNF"),Données_Planning!J330,MOD(Données_Planning!J330,60)))</f>
        <v>0</v>
      </c>
      <c r="P332" s="28" t="str">
        <f t="shared" si="49"/>
        <v>s</v>
      </c>
      <c r="Q332" s="37">
        <f>(IF(OR(A332="DWF",A332="DNF"),0,QUOTIENT(Données_Planning!I330,60)))</f>
        <v>0</v>
      </c>
      <c r="R332" s="7" t="str">
        <f t="shared" si="50"/>
        <v>min</v>
      </c>
      <c r="S332" s="36">
        <f>(IF(OR(A332="DWF",A332="DNF"),Données_Planning!I330,MOD(Données_Planning!I330,60)))</f>
        <v>0</v>
      </c>
      <c r="T332" s="28" t="str">
        <f t="shared" si="51"/>
        <v>s</v>
      </c>
      <c r="U332" s="37">
        <f>(IF(OR(A332="DWF",A332="DNF"),0,QUOTIENT(Données_Planning!K330,60)))</f>
        <v>0</v>
      </c>
      <c r="V332" s="7" t="str">
        <f t="shared" si="52"/>
        <v>min</v>
      </c>
      <c r="W332" s="36">
        <f>(IF(OR(A332="DWF",A332="DNF"),Données_Planning!K330,MOD(Données_Planning!K330,60)))</f>
        <v>0</v>
      </c>
      <c r="X332" s="38" t="str">
        <f t="shared" si="53"/>
        <v>s</v>
      </c>
      <c r="Y332" s="42"/>
    </row>
    <row r="333" spans="1:25" ht="15.75" x14ac:dyDescent="0.25">
      <c r="A333" s="4">
        <f>Données_Planning!A331</f>
        <v>0</v>
      </c>
      <c r="B333" s="6">
        <f>Données_Planning!B331</f>
        <v>0</v>
      </c>
      <c r="C333" s="28">
        <f>Données_Planning!C331</f>
        <v>0</v>
      </c>
      <c r="D333" s="50">
        <f t="shared" si="45"/>
        <v>0</v>
      </c>
      <c r="E333" s="51">
        <f t="shared" si="46"/>
        <v>0</v>
      </c>
      <c r="F333" s="52">
        <f t="shared" si="47"/>
        <v>0</v>
      </c>
      <c r="G333" s="47">
        <f>Données_Planning!L331</f>
        <v>0</v>
      </c>
      <c r="H333" s="18">
        <f>Données_Planning!H331</f>
        <v>0</v>
      </c>
      <c r="I333" s="5">
        <f>Données_Planning!D331</f>
        <v>0</v>
      </c>
      <c r="J333" s="22">
        <f>Données_Planning!F331</f>
        <v>0</v>
      </c>
      <c r="K333" s="22">
        <f>Données_Planning!E331</f>
        <v>0</v>
      </c>
      <c r="L333" s="35">
        <f>Données_Planning!G331</f>
        <v>0</v>
      </c>
      <c r="M333" s="37">
        <f>(IF(OR(A333="DWF",A333="DNF"),0,QUOTIENT(Données_Planning!J331,60)))</f>
        <v>0</v>
      </c>
      <c r="N333" s="7" t="str">
        <f t="shared" si="48"/>
        <v>min</v>
      </c>
      <c r="O333" s="36">
        <f>(IF(OR(A333="DWF",A333="DNF"),Données_Planning!J331,MOD(Données_Planning!J331,60)))</f>
        <v>0</v>
      </c>
      <c r="P333" s="28" t="str">
        <f t="shared" si="49"/>
        <v>s</v>
      </c>
      <c r="Q333" s="37">
        <f>(IF(OR(A333="DWF",A333="DNF"),0,QUOTIENT(Données_Planning!I331,60)))</f>
        <v>0</v>
      </c>
      <c r="R333" s="7" t="str">
        <f t="shared" si="50"/>
        <v>min</v>
      </c>
      <c r="S333" s="36">
        <f>(IF(OR(A333="DWF",A333="DNF"),Données_Planning!I331,MOD(Données_Planning!I331,60)))</f>
        <v>0</v>
      </c>
      <c r="T333" s="28" t="str">
        <f t="shared" si="51"/>
        <v>s</v>
      </c>
      <c r="U333" s="37">
        <f>(IF(OR(A333="DWF",A333="DNF"),0,QUOTIENT(Données_Planning!K331,60)))</f>
        <v>0</v>
      </c>
      <c r="V333" s="7" t="str">
        <f t="shared" si="52"/>
        <v>min</v>
      </c>
      <c r="W333" s="36">
        <f>(IF(OR(A333="DWF",A333="DNF"),Données_Planning!K331,MOD(Données_Planning!K331,60)))</f>
        <v>0</v>
      </c>
      <c r="X333" s="38" t="str">
        <f t="shared" si="53"/>
        <v>s</v>
      </c>
      <c r="Y333" s="42"/>
    </row>
    <row r="334" spans="1:25" ht="15.75" x14ac:dyDescent="0.25">
      <c r="A334" s="4">
        <f>Données_Planning!A332</f>
        <v>0</v>
      </c>
      <c r="B334" s="6">
        <f>Données_Planning!B332</f>
        <v>0</v>
      </c>
      <c r="C334" s="28">
        <f>Données_Planning!C332</f>
        <v>0</v>
      </c>
      <c r="D334" s="50">
        <f t="shared" si="45"/>
        <v>0</v>
      </c>
      <c r="E334" s="51">
        <f t="shared" si="46"/>
        <v>0</v>
      </c>
      <c r="F334" s="52">
        <f t="shared" si="47"/>
        <v>0</v>
      </c>
      <c r="G334" s="47">
        <f>Données_Planning!L332</f>
        <v>0</v>
      </c>
      <c r="H334" s="18">
        <f>Données_Planning!H332</f>
        <v>0</v>
      </c>
      <c r="I334" s="5">
        <f>Données_Planning!D332</f>
        <v>0</v>
      </c>
      <c r="J334" s="22">
        <f>Données_Planning!F332</f>
        <v>0</v>
      </c>
      <c r="K334" s="22">
        <f>Données_Planning!E332</f>
        <v>0</v>
      </c>
      <c r="L334" s="35">
        <f>Données_Planning!G332</f>
        <v>0</v>
      </c>
      <c r="M334" s="37">
        <f>(IF(OR(A334="DWF",A334="DNF"),0,QUOTIENT(Données_Planning!J332,60)))</f>
        <v>0</v>
      </c>
      <c r="N334" s="7" t="str">
        <f t="shared" si="48"/>
        <v>min</v>
      </c>
      <c r="O334" s="36">
        <f>(IF(OR(A334="DWF",A334="DNF"),Données_Planning!J332,MOD(Données_Planning!J332,60)))</f>
        <v>0</v>
      </c>
      <c r="P334" s="28" t="str">
        <f t="shared" si="49"/>
        <v>s</v>
      </c>
      <c r="Q334" s="37">
        <f>(IF(OR(A334="DWF",A334="DNF"),0,QUOTIENT(Données_Planning!I332,60)))</f>
        <v>0</v>
      </c>
      <c r="R334" s="7" t="str">
        <f t="shared" si="50"/>
        <v>min</v>
      </c>
      <c r="S334" s="36">
        <f>(IF(OR(A334="DWF",A334="DNF"),Données_Planning!I332,MOD(Données_Planning!I332,60)))</f>
        <v>0</v>
      </c>
      <c r="T334" s="28" t="str">
        <f t="shared" si="51"/>
        <v>s</v>
      </c>
      <c r="U334" s="37">
        <f>(IF(OR(A334="DWF",A334="DNF"),0,QUOTIENT(Données_Planning!K332,60)))</f>
        <v>0</v>
      </c>
      <c r="V334" s="7" t="str">
        <f t="shared" si="52"/>
        <v>min</v>
      </c>
      <c r="W334" s="36">
        <f>(IF(OR(A334="DWF",A334="DNF"),Données_Planning!K332,MOD(Données_Planning!K332,60)))</f>
        <v>0</v>
      </c>
      <c r="X334" s="38" t="str">
        <f t="shared" si="53"/>
        <v>s</v>
      </c>
      <c r="Y334" s="42"/>
    </row>
    <row r="335" spans="1:25" ht="15.75" x14ac:dyDescent="0.25">
      <c r="A335" s="4">
        <f>Données_Planning!A333</f>
        <v>0</v>
      </c>
      <c r="B335" s="6">
        <f>Données_Planning!B333</f>
        <v>0</v>
      </c>
      <c r="C335" s="28">
        <f>Données_Planning!C333</f>
        <v>0</v>
      </c>
      <c r="D335" s="50">
        <f t="shared" si="45"/>
        <v>0</v>
      </c>
      <c r="E335" s="51">
        <f t="shared" si="46"/>
        <v>0</v>
      </c>
      <c r="F335" s="52">
        <f t="shared" si="47"/>
        <v>0</v>
      </c>
      <c r="G335" s="47">
        <f>Données_Planning!L333</f>
        <v>0</v>
      </c>
      <c r="H335" s="18">
        <f>Données_Planning!H333</f>
        <v>0</v>
      </c>
      <c r="I335" s="5">
        <f>Données_Planning!D333</f>
        <v>0</v>
      </c>
      <c r="J335" s="22">
        <f>Données_Planning!F333</f>
        <v>0</v>
      </c>
      <c r="K335" s="22">
        <f>Données_Planning!E333</f>
        <v>0</v>
      </c>
      <c r="L335" s="35">
        <f>Données_Planning!G333</f>
        <v>0</v>
      </c>
      <c r="M335" s="37">
        <f>(IF(OR(A335="DWF",A335="DNF"),0,QUOTIENT(Données_Planning!J333,60)))</f>
        <v>0</v>
      </c>
      <c r="N335" s="7" t="str">
        <f t="shared" si="48"/>
        <v>min</v>
      </c>
      <c r="O335" s="36">
        <f>(IF(OR(A335="DWF",A335="DNF"),Données_Planning!J333,MOD(Données_Planning!J333,60)))</f>
        <v>0</v>
      </c>
      <c r="P335" s="28" t="str">
        <f t="shared" si="49"/>
        <v>s</v>
      </c>
      <c r="Q335" s="37">
        <f>(IF(OR(A335="DWF",A335="DNF"),0,QUOTIENT(Données_Planning!I333,60)))</f>
        <v>0</v>
      </c>
      <c r="R335" s="7" t="str">
        <f t="shared" si="50"/>
        <v>min</v>
      </c>
      <c r="S335" s="36">
        <f>(IF(OR(A335="DWF",A335="DNF"),Données_Planning!I333,MOD(Données_Planning!I333,60)))</f>
        <v>0</v>
      </c>
      <c r="T335" s="28" t="str">
        <f t="shared" si="51"/>
        <v>s</v>
      </c>
      <c r="U335" s="37">
        <f>(IF(OR(A335="DWF",A335="DNF"),0,QUOTIENT(Données_Planning!K333,60)))</f>
        <v>0</v>
      </c>
      <c r="V335" s="7" t="str">
        <f t="shared" si="52"/>
        <v>min</v>
      </c>
      <c r="W335" s="36">
        <f>(IF(OR(A335="DWF",A335="DNF"),Données_Planning!K333,MOD(Données_Planning!K333,60)))</f>
        <v>0</v>
      </c>
      <c r="X335" s="38" t="str">
        <f t="shared" si="53"/>
        <v>s</v>
      </c>
      <c r="Y335" s="42"/>
    </row>
    <row r="336" spans="1:25" ht="15.75" x14ac:dyDescent="0.25">
      <c r="A336" s="4">
        <f>Données_Planning!A334</f>
        <v>0</v>
      </c>
      <c r="B336" s="6">
        <f>Données_Planning!B334</f>
        <v>0</v>
      </c>
      <c r="C336" s="28">
        <f>Données_Planning!C334</f>
        <v>0</v>
      </c>
      <c r="D336" s="50">
        <f t="shared" si="45"/>
        <v>0</v>
      </c>
      <c r="E336" s="51">
        <f t="shared" si="46"/>
        <v>0</v>
      </c>
      <c r="F336" s="52">
        <f t="shared" si="47"/>
        <v>0</v>
      </c>
      <c r="G336" s="47">
        <f>Données_Planning!L334</f>
        <v>0</v>
      </c>
      <c r="H336" s="18">
        <f>Données_Planning!H334</f>
        <v>0</v>
      </c>
      <c r="I336" s="5">
        <f>Données_Planning!D334</f>
        <v>0</v>
      </c>
      <c r="J336" s="22">
        <f>Données_Planning!F334</f>
        <v>0</v>
      </c>
      <c r="K336" s="22">
        <f>Données_Planning!E334</f>
        <v>0</v>
      </c>
      <c r="L336" s="35">
        <f>Données_Planning!G334</f>
        <v>0</v>
      </c>
      <c r="M336" s="37">
        <f>(IF(OR(A336="DWF",A336="DNF"),0,QUOTIENT(Données_Planning!J334,60)))</f>
        <v>0</v>
      </c>
      <c r="N336" s="7" t="str">
        <f t="shared" si="48"/>
        <v>min</v>
      </c>
      <c r="O336" s="36">
        <f>(IF(OR(A336="DWF",A336="DNF"),Données_Planning!J334,MOD(Données_Planning!J334,60)))</f>
        <v>0</v>
      </c>
      <c r="P336" s="28" t="str">
        <f t="shared" si="49"/>
        <v>s</v>
      </c>
      <c r="Q336" s="37">
        <f>(IF(OR(A336="DWF",A336="DNF"),0,QUOTIENT(Données_Planning!I334,60)))</f>
        <v>0</v>
      </c>
      <c r="R336" s="7" t="str">
        <f t="shared" si="50"/>
        <v>min</v>
      </c>
      <c r="S336" s="36">
        <f>(IF(OR(A336="DWF",A336="DNF"),Données_Planning!I334,MOD(Données_Planning!I334,60)))</f>
        <v>0</v>
      </c>
      <c r="T336" s="28" t="str">
        <f t="shared" si="51"/>
        <v>s</v>
      </c>
      <c r="U336" s="37">
        <f>(IF(OR(A336="DWF",A336="DNF"),0,QUOTIENT(Données_Planning!K334,60)))</f>
        <v>0</v>
      </c>
      <c r="V336" s="7" t="str">
        <f t="shared" si="52"/>
        <v>min</v>
      </c>
      <c r="W336" s="36">
        <f>(IF(OR(A336="DWF",A336="DNF"),Données_Planning!K334,MOD(Données_Planning!K334,60)))</f>
        <v>0</v>
      </c>
      <c r="X336" s="38" t="str">
        <f t="shared" si="53"/>
        <v>s</v>
      </c>
      <c r="Y336" s="42"/>
    </row>
    <row r="337" spans="1:25" ht="15.75" x14ac:dyDescent="0.25">
      <c r="A337" s="4">
        <f>Données_Planning!A335</f>
        <v>0</v>
      </c>
      <c r="B337" s="6">
        <f>Données_Planning!B335</f>
        <v>0</v>
      </c>
      <c r="C337" s="28">
        <f>Données_Planning!C335</f>
        <v>0</v>
      </c>
      <c r="D337" s="50">
        <f t="shared" si="45"/>
        <v>0</v>
      </c>
      <c r="E337" s="51">
        <f t="shared" si="46"/>
        <v>0</v>
      </c>
      <c r="F337" s="52">
        <f t="shared" si="47"/>
        <v>0</v>
      </c>
      <c r="G337" s="47">
        <f>Données_Planning!L335</f>
        <v>0</v>
      </c>
      <c r="H337" s="18">
        <f>Données_Planning!H335</f>
        <v>0</v>
      </c>
      <c r="I337" s="5">
        <f>Données_Planning!D335</f>
        <v>0</v>
      </c>
      <c r="J337" s="22">
        <f>Données_Planning!F335</f>
        <v>0</v>
      </c>
      <c r="K337" s="22">
        <f>Données_Planning!E335</f>
        <v>0</v>
      </c>
      <c r="L337" s="35">
        <f>Données_Planning!G335</f>
        <v>0</v>
      </c>
      <c r="M337" s="37">
        <f>(IF(OR(A337="DWF",A337="DNF"),0,QUOTIENT(Données_Planning!J335,60)))</f>
        <v>0</v>
      </c>
      <c r="N337" s="7" t="str">
        <f t="shared" si="48"/>
        <v>min</v>
      </c>
      <c r="O337" s="36">
        <f>(IF(OR(A337="DWF",A337="DNF"),Données_Planning!J335,MOD(Données_Planning!J335,60)))</f>
        <v>0</v>
      </c>
      <c r="P337" s="28" t="str">
        <f t="shared" si="49"/>
        <v>s</v>
      </c>
      <c r="Q337" s="37">
        <f>(IF(OR(A337="DWF",A337="DNF"),0,QUOTIENT(Données_Planning!I335,60)))</f>
        <v>0</v>
      </c>
      <c r="R337" s="7" t="str">
        <f t="shared" si="50"/>
        <v>min</v>
      </c>
      <c r="S337" s="36">
        <f>(IF(OR(A337="DWF",A337="DNF"),Données_Planning!I335,MOD(Données_Planning!I335,60)))</f>
        <v>0</v>
      </c>
      <c r="T337" s="28" t="str">
        <f t="shared" si="51"/>
        <v>s</v>
      </c>
      <c r="U337" s="37">
        <f>(IF(OR(A337="DWF",A337="DNF"),0,QUOTIENT(Données_Planning!K335,60)))</f>
        <v>0</v>
      </c>
      <c r="V337" s="7" t="str">
        <f t="shared" si="52"/>
        <v>min</v>
      </c>
      <c r="W337" s="36">
        <f>(IF(OR(A337="DWF",A337="DNF"),Données_Planning!K335,MOD(Données_Planning!K335,60)))</f>
        <v>0</v>
      </c>
      <c r="X337" s="38" t="str">
        <f t="shared" si="53"/>
        <v>s</v>
      </c>
      <c r="Y337" s="42"/>
    </row>
    <row r="338" spans="1:25" ht="15.75" x14ac:dyDescent="0.25">
      <c r="A338" s="4">
        <f>Données_Planning!A336</f>
        <v>0</v>
      </c>
      <c r="B338" s="6">
        <f>Données_Planning!B336</f>
        <v>0</v>
      </c>
      <c r="C338" s="28">
        <f>Données_Planning!C336</f>
        <v>0</v>
      </c>
      <c r="D338" s="50">
        <f t="shared" si="45"/>
        <v>0</v>
      </c>
      <c r="E338" s="51">
        <f t="shared" si="46"/>
        <v>0</v>
      </c>
      <c r="F338" s="52">
        <f t="shared" si="47"/>
        <v>0</v>
      </c>
      <c r="G338" s="47">
        <f>Données_Planning!L336</f>
        <v>0</v>
      </c>
      <c r="H338" s="18">
        <f>Données_Planning!H336</f>
        <v>0</v>
      </c>
      <c r="I338" s="5">
        <f>Données_Planning!D336</f>
        <v>0</v>
      </c>
      <c r="J338" s="22">
        <f>Données_Planning!F336</f>
        <v>0</v>
      </c>
      <c r="K338" s="22">
        <f>Données_Planning!E336</f>
        <v>0</v>
      </c>
      <c r="L338" s="35">
        <f>Données_Planning!G336</f>
        <v>0</v>
      </c>
      <c r="M338" s="37">
        <f>(IF(OR(A338="DWF",A338="DNF"),0,QUOTIENT(Données_Planning!J336,60)))</f>
        <v>0</v>
      </c>
      <c r="N338" s="7" t="str">
        <f t="shared" si="48"/>
        <v>min</v>
      </c>
      <c r="O338" s="36">
        <f>(IF(OR(A338="DWF",A338="DNF"),Données_Planning!J336,MOD(Données_Planning!J336,60)))</f>
        <v>0</v>
      </c>
      <c r="P338" s="28" t="str">
        <f t="shared" si="49"/>
        <v>s</v>
      </c>
      <c r="Q338" s="37">
        <f>(IF(OR(A338="DWF",A338="DNF"),0,QUOTIENT(Données_Planning!I336,60)))</f>
        <v>0</v>
      </c>
      <c r="R338" s="7" t="str">
        <f t="shared" si="50"/>
        <v>min</v>
      </c>
      <c r="S338" s="36">
        <f>(IF(OR(A338="DWF",A338="DNF"),Données_Planning!I336,MOD(Données_Planning!I336,60)))</f>
        <v>0</v>
      </c>
      <c r="T338" s="28" t="str">
        <f t="shared" si="51"/>
        <v>s</v>
      </c>
      <c r="U338" s="37">
        <f>(IF(OR(A338="DWF",A338="DNF"),0,QUOTIENT(Données_Planning!K336,60)))</f>
        <v>0</v>
      </c>
      <c r="V338" s="7" t="str">
        <f t="shared" si="52"/>
        <v>min</v>
      </c>
      <c r="W338" s="36">
        <f>(IF(OR(A338="DWF",A338="DNF"),Données_Planning!K336,MOD(Données_Planning!K336,60)))</f>
        <v>0</v>
      </c>
      <c r="X338" s="38" t="str">
        <f t="shared" si="53"/>
        <v>s</v>
      </c>
      <c r="Y338" s="42"/>
    </row>
    <row r="339" spans="1:25" ht="15.75" x14ac:dyDescent="0.25">
      <c r="A339" s="4">
        <f>Données_Planning!A337</f>
        <v>0</v>
      </c>
      <c r="B339" s="6">
        <f>Données_Planning!B337</f>
        <v>0</v>
      </c>
      <c r="C339" s="28">
        <f>Données_Planning!C337</f>
        <v>0</v>
      </c>
      <c r="D339" s="50">
        <f t="shared" si="45"/>
        <v>0</v>
      </c>
      <c r="E339" s="51">
        <f t="shared" si="46"/>
        <v>0</v>
      </c>
      <c r="F339" s="52">
        <f t="shared" si="47"/>
        <v>0</v>
      </c>
      <c r="G339" s="47">
        <f>Données_Planning!L337</f>
        <v>0</v>
      </c>
      <c r="H339" s="18">
        <f>Données_Planning!H337</f>
        <v>0</v>
      </c>
      <c r="I339" s="5">
        <f>Données_Planning!D337</f>
        <v>0</v>
      </c>
      <c r="J339" s="22">
        <f>Données_Planning!F337</f>
        <v>0</v>
      </c>
      <c r="K339" s="22">
        <f>Données_Planning!E337</f>
        <v>0</v>
      </c>
      <c r="L339" s="35">
        <f>Données_Planning!G337</f>
        <v>0</v>
      </c>
      <c r="M339" s="37">
        <f>(IF(OR(A339="DWF",A339="DNF"),0,QUOTIENT(Données_Planning!J337,60)))</f>
        <v>0</v>
      </c>
      <c r="N339" s="7" t="str">
        <f t="shared" si="48"/>
        <v>min</v>
      </c>
      <c r="O339" s="36">
        <f>(IF(OR(A339="DWF",A339="DNF"),Données_Planning!J337,MOD(Données_Planning!J337,60)))</f>
        <v>0</v>
      </c>
      <c r="P339" s="28" t="str">
        <f t="shared" si="49"/>
        <v>s</v>
      </c>
      <c r="Q339" s="37">
        <f>(IF(OR(A339="DWF",A339="DNF"),0,QUOTIENT(Données_Planning!I337,60)))</f>
        <v>0</v>
      </c>
      <c r="R339" s="7" t="str">
        <f t="shared" si="50"/>
        <v>min</v>
      </c>
      <c r="S339" s="36">
        <f>(IF(OR(A339="DWF",A339="DNF"),Données_Planning!I337,MOD(Données_Planning!I337,60)))</f>
        <v>0</v>
      </c>
      <c r="T339" s="28" t="str">
        <f t="shared" si="51"/>
        <v>s</v>
      </c>
      <c r="U339" s="37">
        <f>(IF(OR(A339="DWF",A339="DNF"),0,QUOTIENT(Données_Planning!K337,60)))</f>
        <v>0</v>
      </c>
      <c r="V339" s="7" t="str">
        <f t="shared" si="52"/>
        <v>min</v>
      </c>
      <c r="W339" s="36">
        <f>(IF(OR(A339="DWF",A339="DNF"),Données_Planning!K337,MOD(Données_Planning!K337,60)))</f>
        <v>0</v>
      </c>
      <c r="X339" s="38" t="str">
        <f t="shared" si="53"/>
        <v>s</v>
      </c>
      <c r="Y339" s="42"/>
    </row>
    <row r="340" spans="1:25" ht="15.75" x14ac:dyDescent="0.25">
      <c r="A340" s="4">
        <f>Données_Planning!A338</f>
        <v>0</v>
      </c>
      <c r="B340" s="6">
        <f>Données_Planning!B338</f>
        <v>0</v>
      </c>
      <c r="C340" s="28">
        <f>Données_Planning!C338</f>
        <v>0</v>
      </c>
      <c r="D340" s="50">
        <f t="shared" si="45"/>
        <v>0</v>
      </c>
      <c r="E340" s="51">
        <f t="shared" si="46"/>
        <v>0</v>
      </c>
      <c r="F340" s="52">
        <f t="shared" si="47"/>
        <v>0</v>
      </c>
      <c r="G340" s="47">
        <f>Données_Planning!L338</f>
        <v>0</v>
      </c>
      <c r="H340" s="18">
        <f>Données_Planning!H338</f>
        <v>0</v>
      </c>
      <c r="I340" s="5">
        <f>Données_Planning!D338</f>
        <v>0</v>
      </c>
      <c r="J340" s="22">
        <f>Données_Planning!F338</f>
        <v>0</v>
      </c>
      <c r="K340" s="22">
        <f>Données_Planning!E338</f>
        <v>0</v>
      </c>
      <c r="L340" s="35">
        <f>Données_Planning!G338</f>
        <v>0</v>
      </c>
      <c r="M340" s="37">
        <f>(IF(OR(A340="DWF",A340="DNF"),0,QUOTIENT(Données_Planning!J338,60)))</f>
        <v>0</v>
      </c>
      <c r="N340" s="7" t="str">
        <f t="shared" si="48"/>
        <v>min</v>
      </c>
      <c r="O340" s="36">
        <f>(IF(OR(A340="DWF",A340="DNF"),Données_Planning!J338,MOD(Données_Planning!J338,60)))</f>
        <v>0</v>
      </c>
      <c r="P340" s="28" t="str">
        <f t="shared" si="49"/>
        <v>s</v>
      </c>
      <c r="Q340" s="37">
        <f>(IF(OR(A340="DWF",A340="DNF"),0,QUOTIENT(Données_Planning!I338,60)))</f>
        <v>0</v>
      </c>
      <c r="R340" s="7" t="str">
        <f t="shared" si="50"/>
        <v>min</v>
      </c>
      <c r="S340" s="36">
        <f>(IF(OR(A340="DWF",A340="DNF"),Données_Planning!I338,MOD(Données_Planning!I338,60)))</f>
        <v>0</v>
      </c>
      <c r="T340" s="28" t="str">
        <f t="shared" si="51"/>
        <v>s</v>
      </c>
      <c r="U340" s="37">
        <f>(IF(OR(A340="DWF",A340="DNF"),0,QUOTIENT(Données_Planning!K338,60)))</f>
        <v>0</v>
      </c>
      <c r="V340" s="7" t="str">
        <f t="shared" si="52"/>
        <v>min</v>
      </c>
      <c r="W340" s="36">
        <f>(IF(OR(A340="DWF",A340="DNF"),Données_Planning!K338,MOD(Données_Planning!K338,60)))</f>
        <v>0</v>
      </c>
      <c r="X340" s="38" t="str">
        <f t="shared" si="53"/>
        <v>s</v>
      </c>
      <c r="Y340" s="42"/>
    </row>
    <row r="341" spans="1:25" ht="15.75" x14ac:dyDescent="0.25">
      <c r="A341" s="4">
        <f>Données_Planning!A339</f>
        <v>0</v>
      </c>
      <c r="B341" s="6">
        <f>Données_Planning!B339</f>
        <v>0</v>
      </c>
      <c r="C341" s="28">
        <f>Données_Planning!C339</f>
        <v>0</v>
      </c>
      <c r="D341" s="50">
        <f t="shared" si="45"/>
        <v>0</v>
      </c>
      <c r="E341" s="51">
        <f t="shared" si="46"/>
        <v>0</v>
      </c>
      <c r="F341" s="52">
        <f t="shared" si="47"/>
        <v>0</v>
      </c>
      <c r="G341" s="47">
        <f>Données_Planning!L339</f>
        <v>0</v>
      </c>
      <c r="H341" s="18">
        <f>Données_Planning!H339</f>
        <v>0</v>
      </c>
      <c r="I341" s="5">
        <f>Données_Planning!D339</f>
        <v>0</v>
      </c>
      <c r="J341" s="22">
        <f>Données_Planning!F339</f>
        <v>0</v>
      </c>
      <c r="K341" s="22">
        <f>Données_Planning!E339</f>
        <v>0</v>
      </c>
      <c r="L341" s="35">
        <f>Données_Planning!G339</f>
        <v>0</v>
      </c>
      <c r="M341" s="37">
        <f>(IF(OR(A341="DWF",A341="DNF"),0,QUOTIENT(Données_Planning!J339,60)))</f>
        <v>0</v>
      </c>
      <c r="N341" s="7" t="str">
        <f t="shared" si="48"/>
        <v>min</v>
      </c>
      <c r="O341" s="36">
        <f>(IF(OR(A341="DWF",A341="DNF"),Données_Planning!J339,MOD(Données_Planning!J339,60)))</f>
        <v>0</v>
      </c>
      <c r="P341" s="28" t="str">
        <f t="shared" si="49"/>
        <v>s</v>
      </c>
      <c r="Q341" s="37">
        <f>(IF(OR(A341="DWF",A341="DNF"),0,QUOTIENT(Données_Planning!I339,60)))</f>
        <v>0</v>
      </c>
      <c r="R341" s="7" t="str">
        <f t="shared" si="50"/>
        <v>min</v>
      </c>
      <c r="S341" s="36">
        <f>(IF(OR(A341="DWF",A341="DNF"),Données_Planning!I339,MOD(Données_Planning!I339,60)))</f>
        <v>0</v>
      </c>
      <c r="T341" s="28" t="str">
        <f t="shared" si="51"/>
        <v>s</v>
      </c>
      <c r="U341" s="37">
        <f>(IF(OR(A341="DWF",A341="DNF"),0,QUOTIENT(Données_Planning!K339,60)))</f>
        <v>0</v>
      </c>
      <c r="V341" s="7" t="str">
        <f t="shared" si="52"/>
        <v>min</v>
      </c>
      <c r="W341" s="36">
        <f>(IF(OR(A341="DWF",A341="DNF"),Données_Planning!K339,MOD(Données_Planning!K339,60)))</f>
        <v>0</v>
      </c>
      <c r="X341" s="38" t="str">
        <f t="shared" si="53"/>
        <v>s</v>
      </c>
      <c r="Y341" s="42"/>
    </row>
    <row r="342" spans="1:25" ht="15.75" x14ac:dyDescent="0.25">
      <c r="A342" s="4">
        <f>Données_Planning!A340</f>
        <v>0</v>
      </c>
      <c r="B342" s="6">
        <f>Données_Planning!B340</f>
        <v>0</v>
      </c>
      <c r="C342" s="28">
        <f>Données_Planning!C340</f>
        <v>0</v>
      </c>
      <c r="D342" s="50">
        <f t="shared" si="45"/>
        <v>0</v>
      </c>
      <c r="E342" s="51">
        <f t="shared" si="46"/>
        <v>0</v>
      </c>
      <c r="F342" s="52">
        <f t="shared" si="47"/>
        <v>0</v>
      </c>
      <c r="G342" s="47">
        <f>Données_Planning!L340</f>
        <v>0</v>
      </c>
      <c r="H342" s="18">
        <f>Données_Planning!H340</f>
        <v>0</v>
      </c>
      <c r="I342" s="5">
        <f>Données_Planning!D340</f>
        <v>0</v>
      </c>
      <c r="J342" s="22">
        <f>Données_Planning!F340</f>
        <v>0</v>
      </c>
      <c r="K342" s="22">
        <f>Données_Planning!E340</f>
        <v>0</v>
      </c>
      <c r="L342" s="35">
        <f>Données_Planning!G340</f>
        <v>0</v>
      </c>
      <c r="M342" s="37">
        <f>(IF(OR(A342="DWF",A342="DNF"),0,QUOTIENT(Données_Planning!J340,60)))</f>
        <v>0</v>
      </c>
      <c r="N342" s="7" t="str">
        <f t="shared" si="48"/>
        <v>min</v>
      </c>
      <c r="O342" s="36">
        <f>(IF(OR(A342="DWF",A342="DNF"),Données_Planning!J340,MOD(Données_Planning!J340,60)))</f>
        <v>0</v>
      </c>
      <c r="P342" s="28" t="str">
        <f t="shared" si="49"/>
        <v>s</v>
      </c>
      <c r="Q342" s="37">
        <f>(IF(OR(A342="DWF",A342="DNF"),0,QUOTIENT(Données_Planning!I340,60)))</f>
        <v>0</v>
      </c>
      <c r="R342" s="7" t="str">
        <f t="shared" si="50"/>
        <v>min</v>
      </c>
      <c r="S342" s="36">
        <f>(IF(OR(A342="DWF",A342="DNF"),Données_Planning!I340,MOD(Données_Planning!I340,60)))</f>
        <v>0</v>
      </c>
      <c r="T342" s="28" t="str">
        <f t="shared" si="51"/>
        <v>s</v>
      </c>
      <c r="U342" s="37">
        <f>(IF(OR(A342="DWF",A342="DNF"),0,QUOTIENT(Données_Planning!K340,60)))</f>
        <v>0</v>
      </c>
      <c r="V342" s="7" t="str">
        <f t="shared" si="52"/>
        <v>min</v>
      </c>
      <c r="W342" s="36">
        <f>(IF(OR(A342="DWF",A342="DNF"),Données_Planning!K340,MOD(Données_Planning!K340,60)))</f>
        <v>0</v>
      </c>
      <c r="X342" s="38" t="str">
        <f t="shared" si="53"/>
        <v>s</v>
      </c>
      <c r="Y342" s="42"/>
    </row>
    <row r="343" spans="1:25" ht="15.75" x14ac:dyDescent="0.25">
      <c r="A343" s="4">
        <f>Données_Planning!A341</f>
        <v>0</v>
      </c>
      <c r="B343" s="6">
        <f>Données_Planning!B341</f>
        <v>0</v>
      </c>
      <c r="C343" s="28">
        <f>Données_Planning!C341</f>
        <v>0</v>
      </c>
      <c r="D343" s="50">
        <f t="shared" si="45"/>
        <v>0</v>
      </c>
      <c r="E343" s="51">
        <f t="shared" si="46"/>
        <v>0</v>
      </c>
      <c r="F343" s="52">
        <f t="shared" si="47"/>
        <v>0</v>
      </c>
      <c r="G343" s="47">
        <f>Données_Planning!L341</f>
        <v>0</v>
      </c>
      <c r="H343" s="18">
        <f>Données_Planning!H341</f>
        <v>0</v>
      </c>
      <c r="I343" s="5">
        <f>Données_Planning!D341</f>
        <v>0</v>
      </c>
      <c r="J343" s="22">
        <f>Données_Planning!F341</f>
        <v>0</v>
      </c>
      <c r="K343" s="22">
        <f>Données_Planning!E341</f>
        <v>0</v>
      </c>
      <c r="L343" s="35">
        <f>Données_Planning!G341</f>
        <v>0</v>
      </c>
      <c r="M343" s="37">
        <f>(IF(OR(A343="DWF",A343="DNF"),0,QUOTIENT(Données_Planning!J341,60)))</f>
        <v>0</v>
      </c>
      <c r="N343" s="7" t="str">
        <f t="shared" si="48"/>
        <v>min</v>
      </c>
      <c r="O343" s="36">
        <f>(IF(OR(A343="DWF",A343="DNF"),Données_Planning!J341,MOD(Données_Planning!J341,60)))</f>
        <v>0</v>
      </c>
      <c r="P343" s="28" t="str">
        <f t="shared" si="49"/>
        <v>s</v>
      </c>
      <c r="Q343" s="37">
        <f>(IF(OR(A343="DWF",A343="DNF"),0,QUOTIENT(Données_Planning!I341,60)))</f>
        <v>0</v>
      </c>
      <c r="R343" s="7" t="str">
        <f t="shared" si="50"/>
        <v>min</v>
      </c>
      <c r="S343" s="36">
        <f>(IF(OR(A343="DWF",A343="DNF"),Données_Planning!I341,MOD(Données_Planning!I341,60)))</f>
        <v>0</v>
      </c>
      <c r="T343" s="28" t="str">
        <f t="shared" si="51"/>
        <v>s</v>
      </c>
      <c r="U343" s="37">
        <f>(IF(OR(A343="DWF",A343="DNF"),0,QUOTIENT(Données_Planning!K341,60)))</f>
        <v>0</v>
      </c>
      <c r="V343" s="7" t="str">
        <f t="shared" si="52"/>
        <v>min</v>
      </c>
      <c r="W343" s="36">
        <f>(IF(OR(A343="DWF",A343="DNF"),Données_Planning!K341,MOD(Données_Planning!K341,60)))</f>
        <v>0</v>
      </c>
      <c r="X343" s="38" t="str">
        <f t="shared" si="53"/>
        <v>s</v>
      </c>
      <c r="Y343" s="42"/>
    </row>
    <row r="344" spans="1:25" ht="15.75" x14ac:dyDescent="0.25">
      <c r="A344" s="4">
        <f>Données_Planning!A342</f>
        <v>0</v>
      </c>
      <c r="B344" s="6">
        <f>Données_Planning!B342</f>
        <v>0</v>
      </c>
      <c r="C344" s="28">
        <f>Données_Planning!C342</f>
        <v>0</v>
      </c>
      <c r="D344" s="50">
        <f t="shared" si="45"/>
        <v>0</v>
      </c>
      <c r="E344" s="51">
        <f t="shared" si="46"/>
        <v>0</v>
      </c>
      <c r="F344" s="52">
        <f t="shared" si="47"/>
        <v>0</v>
      </c>
      <c r="G344" s="47">
        <f>Données_Planning!L342</f>
        <v>0</v>
      </c>
      <c r="H344" s="18">
        <f>Données_Planning!H342</f>
        <v>0</v>
      </c>
      <c r="I344" s="5">
        <f>Données_Planning!D342</f>
        <v>0</v>
      </c>
      <c r="J344" s="22">
        <f>Données_Planning!F342</f>
        <v>0</v>
      </c>
      <c r="K344" s="22">
        <f>Données_Planning!E342</f>
        <v>0</v>
      </c>
      <c r="L344" s="35">
        <f>Données_Planning!G342</f>
        <v>0</v>
      </c>
      <c r="M344" s="37">
        <f>(IF(OR(A344="DWF",A344="DNF"),0,QUOTIENT(Données_Planning!J342,60)))</f>
        <v>0</v>
      </c>
      <c r="N344" s="7" t="str">
        <f t="shared" si="48"/>
        <v>min</v>
      </c>
      <c r="O344" s="36">
        <f>(IF(OR(A344="DWF",A344="DNF"),Données_Planning!J342,MOD(Données_Planning!J342,60)))</f>
        <v>0</v>
      </c>
      <c r="P344" s="28" t="str">
        <f t="shared" si="49"/>
        <v>s</v>
      </c>
      <c r="Q344" s="37">
        <f>(IF(OR(A344="DWF",A344="DNF"),0,QUOTIENT(Données_Planning!I342,60)))</f>
        <v>0</v>
      </c>
      <c r="R344" s="7" t="str">
        <f t="shared" si="50"/>
        <v>min</v>
      </c>
      <c r="S344" s="36">
        <f>(IF(OR(A344="DWF",A344="DNF"),Données_Planning!I342,MOD(Données_Planning!I342,60)))</f>
        <v>0</v>
      </c>
      <c r="T344" s="28" t="str">
        <f t="shared" si="51"/>
        <v>s</v>
      </c>
      <c r="U344" s="37">
        <f>(IF(OR(A344="DWF",A344="DNF"),0,QUOTIENT(Données_Planning!K342,60)))</f>
        <v>0</v>
      </c>
      <c r="V344" s="7" t="str">
        <f t="shared" si="52"/>
        <v>min</v>
      </c>
      <c r="W344" s="36">
        <f>(IF(OR(A344="DWF",A344="DNF"),Données_Planning!K342,MOD(Données_Planning!K342,60)))</f>
        <v>0</v>
      </c>
      <c r="X344" s="38" t="str">
        <f t="shared" si="53"/>
        <v>s</v>
      </c>
      <c r="Y344" s="42"/>
    </row>
    <row r="345" spans="1:25" ht="15.75" x14ac:dyDescent="0.25">
      <c r="A345" s="4">
        <f>Données_Planning!A343</f>
        <v>0</v>
      </c>
      <c r="B345" s="6">
        <f>Données_Planning!B343</f>
        <v>0</v>
      </c>
      <c r="C345" s="28">
        <f>Données_Planning!C343</f>
        <v>0</v>
      </c>
      <c r="D345" s="50">
        <f t="shared" si="45"/>
        <v>0</v>
      </c>
      <c r="E345" s="51">
        <f t="shared" si="46"/>
        <v>0</v>
      </c>
      <c r="F345" s="52">
        <f t="shared" si="47"/>
        <v>0</v>
      </c>
      <c r="G345" s="47">
        <f>Données_Planning!L343</f>
        <v>0</v>
      </c>
      <c r="H345" s="18">
        <f>Données_Planning!H343</f>
        <v>0</v>
      </c>
      <c r="I345" s="5">
        <f>Données_Planning!D343</f>
        <v>0</v>
      </c>
      <c r="J345" s="22">
        <f>Données_Planning!F343</f>
        <v>0</v>
      </c>
      <c r="K345" s="22">
        <f>Données_Planning!E343</f>
        <v>0</v>
      </c>
      <c r="L345" s="35">
        <f>Données_Planning!G343</f>
        <v>0</v>
      </c>
      <c r="M345" s="37">
        <f>(IF(OR(A345="DWF",A345="DNF"),0,QUOTIENT(Données_Planning!J343,60)))</f>
        <v>0</v>
      </c>
      <c r="N345" s="7" t="str">
        <f t="shared" si="48"/>
        <v>min</v>
      </c>
      <c r="O345" s="36">
        <f>(IF(OR(A345="DWF",A345="DNF"),Données_Planning!J343,MOD(Données_Planning!J343,60)))</f>
        <v>0</v>
      </c>
      <c r="P345" s="28" t="str">
        <f t="shared" si="49"/>
        <v>s</v>
      </c>
      <c r="Q345" s="37">
        <f>(IF(OR(A345="DWF",A345="DNF"),0,QUOTIENT(Données_Planning!I343,60)))</f>
        <v>0</v>
      </c>
      <c r="R345" s="7" t="str">
        <f t="shared" si="50"/>
        <v>min</v>
      </c>
      <c r="S345" s="36">
        <f>(IF(OR(A345="DWF",A345="DNF"),Données_Planning!I343,MOD(Données_Planning!I343,60)))</f>
        <v>0</v>
      </c>
      <c r="T345" s="28" t="str">
        <f t="shared" si="51"/>
        <v>s</v>
      </c>
      <c r="U345" s="37">
        <f>(IF(OR(A345="DWF",A345="DNF"),0,QUOTIENT(Données_Planning!K343,60)))</f>
        <v>0</v>
      </c>
      <c r="V345" s="7" t="str">
        <f t="shared" si="52"/>
        <v>min</v>
      </c>
      <c r="W345" s="36">
        <f>(IF(OR(A345="DWF",A345="DNF"),Données_Planning!K343,MOD(Données_Planning!K343,60)))</f>
        <v>0</v>
      </c>
      <c r="X345" s="38" t="str">
        <f t="shared" si="53"/>
        <v>s</v>
      </c>
      <c r="Y345" s="42"/>
    </row>
    <row r="346" spans="1:25" ht="15.75" x14ac:dyDescent="0.25">
      <c r="A346" s="4">
        <f>Données_Planning!A344</f>
        <v>0</v>
      </c>
      <c r="B346" s="6">
        <f>Données_Planning!B344</f>
        <v>0</v>
      </c>
      <c r="C346" s="28">
        <f>Données_Planning!C344</f>
        <v>0</v>
      </c>
      <c r="D346" s="50">
        <f t="shared" si="45"/>
        <v>0</v>
      </c>
      <c r="E346" s="51">
        <f t="shared" si="46"/>
        <v>0</v>
      </c>
      <c r="F346" s="52">
        <f t="shared" si="47"/>
        <v>0</v>
      </c>
      <c r="G346" s="47">
        <f>Données_Planning!L344</f>
        <v>0</v>
      </c>
      <c r="H346" s="18">
        <f>Données_Planning!H344</f>
        <v>0</v>
      </c>
      <c r="I346" s="5">
        <f>Données_Planning!D344</f>
        <v>0</v>
      </c>
      <c r="J346" s="22">
        <f>Données_Planning!F344</f>
        <v>0</v>
      </c>
      <c r="K346" s="22">
        <f>Données_Planning!E344</f>
        <v>0</v>
      </c>
      <c r="L346" s="35">
        <f>Données_Planning!G344</f>
        <v>0</v>
      </c>
      <c r="M346" s="37">
        <f>(IF(OR(A346="DWF",A346="DNF"),0,QUOTIENT(Données_Planning!J344,60)))</f>
        <v>0</v>
      </c>
      <c r="N346" s="7" t="str">
        <f t="shared" si="48"/>
        <v>min</v>
      </c>
      <c r="O346" s="36">
        <f>(IF(OR(A346="DWF",A346="DNF"),Données_Planning!J344,MOD(Données_Planning!J344,60)))</f>
        <v>0</v>
      </c>
      <c r="P346" s="28" t="str">
        <f t="shared" si="49"/>
        <v>s</v>
      </c>
      <c r="Q346" s="37">
        <f>(IF(OR(A346="DWF",A346="DNF"),0,QUOTIENT(Données_Planning!I344,60)))</f>
        <v>0</v>
      </c>
      <c r="R346" s="7" t="str">
        <f t="shared" si="50"/>
        <v>min</v>
      </c>
      <c r="S346" s="36">
        <f>(IF(OR(A346="DWF",A346="DNF"),Données_Planning!I344,MOD(Données_Planning!I344,60)))</f>
        <v>0</v>
      </c>
      <c r="T346" s="28" t="str">
        <f t="shared" si="51"/>
        <v>s</v>
      </c>
      <c r="U346" s="37">
        <f>(IF(OR(A346="DWF",A346="DNF"),0,QUOTIENT(Données_Planning!K344,60)))</f>
        <v>0</v>
      </c>
      <c r="V346" s="7" t="str">
        <f t="shared" si="52"/>
        <v>min</v>
      </c>
      <c r="W346" s="36">
        <f>(IF(OR(A346="DWF",A346="DNF"),Données_Planning!K344,MOD(Données_Planning!K344,60)))</f>
        <v>0</v>
      </c>
      <c r="X346" s="38" t="str">
        <f t="shared" si="53"/>
        <v>s</v>
      </c>
      <c r="Y346" s="42"/>
    </row>
    <row r="347" spans="1:25" ht="15.75" x14ac:dyDescent="0.25">
      <c r="A347" s="4">
        <f>Données_Planning!A345</f>
        <v>0</v>
      </c>
      <c r="B347" s="6">
        <f>Données_Planning!B345</f>
        <v>0</v>
      </c>
      <c r="C347" s="28">
        <f>Données_Planning!C345</f>
        <v>0</v>
      </c>
      <c r="D347" s="50">
        <f t="shared" si="45"/>
        <v>0</v>
      </c>
      <c r="E347" s="51">
        <f t="shared" si="46"/>
        <v>0</v>
      </c>
      <c r="F347" s="52">
        <f t="shared" si="47"/>
        <v>0</v>
      </c>
      <c r="G347" s="47">
        <f>Données_Planning!L345</f>
        <v>0</v>
      </c>
      <c r="H347" s="18">
        <f>Données_Planning!H345</f>
        <v>0</v>
      </c>
      <c r="I347" s="5">
        <f>Données_Planning!D345</f>
        <v>0</v>
      </c>
      <c r="J347" s="22">
        <f>Données_Planning!F345</f>
        <v>0</v>
      </c>
      <c r="K347" s="22">
        <f>Données_Planning!E345</f>
        <v>0</v>
      </c>
      <c r="L347" s="35">
        <f>Données_Planning!G345</f>
        <v>0</v>
      </c>
      <c r="M347" s="37">
        <f>(IF(OR(A347="DWF",A347="DNF"),0,QUOTIENT(Données_Planning!J345,60)))</f>
        <v>0</v>
      </c>
      <c r="N347" s="7" t="str">
        <f t="shared" si="48"/>
        <v>min</v>
      </c>
      <c r="O347" s="36">
        <f>(IF(OR(A347="DWF",A347="DNF"),Données_Planning!J345,MOD(Données_Planning!J345,60)))</f>
        <v>0</v>
      </c>
      <c r="P347" s="28" t="str">
        <f t="shared" si="49"/>
        <v>s</v>
      </c>
      <c r="Q347" s="37">
        <f>(IF(OR(A347="DWF",A347="DNF"),0,QUOTIENT(Données_Planning!I345,60)))</f>
        <v>0</v>
      </c>
      <c r="R347" s="7" t="str">
        <f t="shared" si="50"/>
        <v>min</v>
      </c>
      <c r="S347" s="36">
        <f>(IF(OR(A347="DWF",A347="DNF"),Données_Planning!I345,MOD(Données_Planning!I345,60)))</f>
        <v>0</v>
      </c>
      <c r="T347" s="28" t="str">
        <f t="shared" si="51"/>
        <v>s</v>
      </c>
      <c r="U347" s="37">
        <f>(IF(OR(A347="DWF",A347="DNF"),0,QUOTIENT(Données_Planning!K345,60)))</f>
        <v>0</v>
      </c>
      <c r="V347" s="7" t="str">
        <f t="shared" si="52"/>
        <v>min</v>
      </c>
      <c r="W347" s="36">
        <f>(IF(OR(A347="DWF",A347="DNF"),Données_Planning!K345,MOD(Données_Planning!K345,60)))</f>
        <v>0</v>
      </c>
      <c r="X347" s="38" t="str">
        <f t="shared" si="53"/>
        <v>s</v>
      </c>
      <c r="Y347" s="42"/>
    </row>
    <row r="348" spans="1:25" ht="15.75" x14ac:dyDescent="0.25">
      <c r="A348" s="4">
        <f>Données_Planning!A346</f>
        <v>0</v>
      </c>
      <c r="B348" s="6">
        <f>Données_Planning!B346</f>
        <v>0</v>
      </c>
      <c r="C348" s="28">
        <f>Données_Planning!C346</f>
        <v>0</v>
      </c>
      <c r="D348" s="50">
        <f t="shared" si="45"/>
        <v>0</v>
      </c>
      <c r="E348" s="51">
        <f t="shared" si="46"/>
        <v>0</v>
      </c>
      <c r="F348" s="52">
        <f t="shared" si="47"/>
        <v>0</v>
      </c>
      <c r="G348" s="47">
        <f>Données_Planning!L346</f>
        <v>0</v>
      </c>
      <c r="H348" s="18">
        <f>Données_Planning!H346</f>
        <v>0</v>
      </c>
      <c r="I348" s="5">
        <f>Données_Planning!D346</f>
        <v>0</v>
      </c>
      <c r="J348" s="22">
        <f>Données_Planning!F346</f>
        <v>0</v>
      </c>
      <c r="K348" s="22">
        <f>Données_Planning!E346</f>
        <v>0</v>
      </c>
      <c r="L348" s="35">
        <f>Données_Planning!G346</f>
        <v>0</v>
      </c>
      <c r="M348" s="37">
        <f>(IF(OR(A348="DWF",A348="DNF"),0,QUOTIENT(Données_Planning!J346,60)))</f>
        <v>0</v>
      </c>
      <c r="N348" s="7" t="str">
        <f t="shared" si="48"/>
        <v>min</v>
      </c>
      <c r="O348" s="36">
        <f>(IF(OR(A348="DWF",A348="DNF"),Données_Planning!J346,MOD(Données_Planning!J346,60)))</f>
        <v>0</v>
      </c>
      <c r="P348" s="28" t="str">
        <f t="shared" si="49"/>
        <v>s</v>
      </c>
      <c r="Q348" s="37">
        <f>(IF(OR(A348="DWF",A348="DNF"),0,QUOTIENT(Données_Planning!I346,60)))</f>
        <v>0</v>
      </c>
      <c r="R348" s="7" t="str">
        <f t="shared" si="50"/>
        <v>min</v>
      </c>
      <c r="S348" s="36">
        <f>(IF(OR(A348="DWF",A348="DNF"),Données_Planning!I346,MOD(Données_Planning!I346,60)))</f>
        <v>0</v>
      </c>
      <c r="T348" s="28" t="str">
        <f t="shared" si="51"/>
        <v>s</v>
      </c>
      <c r="U348" s="37">
        <f>(IF(OR(A348="DWF",A348="DNF"),0,QUOTIENT(Données_Planning!K346,60)))</f>
        <v>0</v>
      </c>
      <c r="V348" s="7" t="str">
        <f t="shared" si="52"/>
        <v>min</v>
      </c>
      <c r="W348" s="36">
        <f>(IF(OR(A348="DWF",A348="DNF"),Données_Planning!K346,MOD(Données_Planning!K346,60)))</f>
        <v>0</v>
      </c>
      <c r="X348" s="38" t="str">
        <f t="shared" si="53"/>
        <v>s</v>
      </c>
      <c r="Y348" s="42"/>
    </row>
    <row r="349" spans="1:25" ht="15.75" x14ac:dyDescent="0.25">
      <c r="A349" s="4">
        <f>Données_Planning!A347</f>
        <v>0</v>
      </c>
      <c r="B349" s="6">
        <f>Données_Planning!B347</f>
        <v>0</v>
      </c>
      <c r="C349" s="28">
        <f>Données_Planning!C347</f>
        <v>0</v>
      </c>
      <c r="D349" s="50">
        <f t="shared" si="45"/>
        <v>0</v>
      </c>
      <c r="E349" s="51">
        <f t="shared" si="46"/>
        <v>0</v>
      </c>
      <c r="F349" s="52">
        <f t="shared" si="47"/>
        <v>0</v>
      </c>
      <c r="G349" s="47">
        <f>Données_Planning!L347</f>
        <v>0</v>
      </c>
      <c r="H349" s="18">
        <f>Données_Planning!H347</f>
        <v>0</v>
      </c>
      <c r="I349" s="5">
        <f>Données_Planning!D347</f>
        <v>0</v>
      </c>
      <c r="J349" s="22">
        <f>Données_Planning!F347</f>
        <v>0</v>
      </c>
      <c r="K349" s="22">
        <f>Données_Planning!E347</f>
        <v>0</v>
      </c>
      <c r="L349" s="35">
        <f>Données_Planning!G347</f>
        <v>0</v>
      </c>
      <c r="M349" s="37">
        <f>(IF(OR(A349="DWF",A349="DNF"),0,QUOTIENT(Données_Planning!J347,60)))</f>
        <v>0</v>
      </c>
      <c r="N349" s="7" t="str">
        <f t="shared" si="48"/>
        <v>min</v>
      </c>
      <c r="O349" s="36">
        <f>(IF(OR(A349="DWF",A349="DNF"),Données_Planning!J347,MOD(Données_Planning!J347,60)))</f>
        <v>0</v>
      </c>
      <c r="P349" s="28" t="str">
        <f t="shared" si="49"/>
        <v>s</v>
      </c>
      <c r="Q349" s="37">
        <f>(IF(OR(A349="DWF",A349="DNF"),0,QUOTIENT(Données_Planning!I347,60)))</f>
        <v>0</v>
      </c>
      <c r="R349" s="7" t="str">
        <f t="shared" si="50"/>
        <v>min</v>
      </c>
      <c r="S349" s="36">
        <f>(IF(OR(A349="DWF",A349="DNF"),Données_Planning!I347,MOD(Données_Planning!I347,60)))</f>
        <v>0</v>
      </c>
      <c r="T349" s="28" t="str">
        <f t="shared" si="51"/>
        <v>s</v>
      </c>
      <c r="U349" s="37">
        <f>(IF(OR(A349="DWF",A349="DNF"),0,QUOTIENT(Données_Planning!K347,60)))</f>
        <v>0</v>
      </c>
      <c r="V349" s="7" t="str">
        <f t="shared" si="52"/>
        <v>min</v>
      </c>
      <c r="W349" s="36">
        <f>(IF(OR(A349="DWF",A349="DNF"),Données_Planning!K347,MOD(Données_Planning!K347,60)))</f>
        <v>0</v>
      </c>
      <c r="X349" s="38" t="str">
        <f t="shared" si="53"/>
        <v>s</v>
      </c>
      <c r="Y349" s="42"/>
    </row>
    <row r="350" spans="1:25" ht="15.75" x14ac:dyDescent="0.25">
      <c r="A350" s="4">
        <f>Données_Planning!A348</f>
        <v>0</v>
      </c>
      <c r="B350" s="6">
        <f>Données_Planning!B348</f>
        <v>0</v>
      </c>
      <c r="C350" s="28">
        <f>Données_Planning!C348</f>
        <v>0</v>
      </c>
      <c r="D350" s="50">
        <f t="shared" si="45"/>
        <v>0</v>
      </c>
      <c r="E350" s="51">
        <f t="shared" si="46"/>
        <v>0</v>
      </c>
      <c r="F350" s="52">
        <f t="shared" si="47"/>
        <v>0</v>
      </c>
      <c r="G350" s="47">
        <f>Données_Planning!L348</f>
        <v>0</v>
      </c>
      <c r="H350" s="18">
        <f>Données_Planning!H348</f>
        <v>0</v>
      </c>
      <c r="I350" s="5">
        <f>Données_Planning!D348</f>
        <v>0</v>
      </c>
      <c r="J350" s="22">
        <f>Données_Planning!F348</f>
        <v>0</v>
      </c>
      <c r="K350" s="22">
        <f>Données_Planning!E348</f>
        <v>0</v>
      </c>
      <c r="L350" s="35">
        <f>Données_Planning!G348</f>
        <v>0</v>
      </c>
      <c r="M350" s="37">
        <f>(IF(OR(A350="DWF",A350="DNF"),0,QUOTIENT(Données_Planning!J348,60)))</f>
        <v>0</v>
      </c>
      <c r="N350" s="7" t="str">
        <f t="shared" si="48"/>
        <v>min</v>
      </c>
      <c r="O350" s="36">
        <f>(IF(OR(A350="DWF",A350="DNF"),Données_Planning!J348,MOD(Données_Planning!J348,60)))</f>
        <v>0</v>
      </c>
      <c r="P350" s="28" t="str">
        <f t="shared" si="49"/>
        <v>s</v>
      </c>
      <c r="Q350" s="37">
        <f>(IF(OR(A350="DWF",A350="DNF"),0,QUOTIENT(Données_Planning!I348,60)))</f>
        <v>0</v>
      </c>
      <c r="R350" s="7" t="str">
        <f t="shared" si="50"/>
        <v>min</v>
      </c>
      <c r="S350" s="36">
        <f>(IF(OR(A350="DWF",A350="DNF"),Données_Planning!I348,MOD(Données_Planning!I348,60)))</f>
        <v>0</v>
      </c>
      <c r="T350" s="28" t="str">
        <f t="shared" si="51"/>
        <v>s</v>
      </c>
      <c r="U350" s="37">
        <f>(IF(OR(A350="DWF",A350="DNF"),0,QUOTIENT(Données_Planning!K348,60)))</f>
        <v>0</v>
      </c>
      <c r="V350" s="7" t="str">
        <f t="shared" si="52"/>
        <v>min</v>
      </c>
      <c r="W350" s="36">
        <f>(IF(OR(A350="DWF",A350="DNF"),Données_Planning!K348,MOD(Données_Planning!K348,60)))</f>
        <v>0</v>
      </c>
      <c r="X350" s="38" t="str">
        <f t="shared" si="53"/>
        <v>s</v>
      </c>
      <c r="Y350" s="42"/>
    </row>
    <row r="351" spans="1:25" ht="15.75" x14ac:dyDescent="0.25">
      <c r="A351" s="4">
        <f>Données_Planning!A349</f>
        <v>0</v>
      </c>
      <c r="B351" s="6">
        <f>Données_Planning!B349</f>
        <v>0</v>
      </c>
      <c r="C351" s="28">
        <f>Données_Planning!C349</f>
        <v>0</v>
      </c>
      <c r="D351" s="50">
        <f t="shared" si="45"/>
        <v>0</v>
      </c>
      <c r="E351" s="51">
        <f t="shared" si="46"/>
        <v>0</v>
      </c>
      <c r="F351" s="52">
        <f t="shared" si="47"/>
        <v>0</v>
      </c>
      <c r="G351" s="47">
        <f>Données_Planning!L349</f>
        <v>0</v>
      </c>
      <c r="H351" s="18">
        <f>Données_Planning!H349</f>
        <v>0</v>
      </c>
      <c r="I351" s="5">
        <f>Données_Planning!D349</f>
        <v>0</v>
      </c>
      <c r="J351" s="22">
        <f>Données_Planning!F349</f>
        <v>0</v>
      </c>
      <c r="K351" s="22">
        <f>Données_Planning!E349</f>
        <v>0</v>
      </c>
      <c r="L351" s="35">
        <f>Données_Planning!G349</f>
        <v>0</v>
      </c>
      <c r="M351" s="37">
        <f>(IF(OR(A351="DWF",A351="DNF"),0,QUOTIENT(Données_Planning!J349,60)))</f>
        <v>0</v>
      </c>
      <c r="N351" s="7" t="str">
        <f t="shared" si="48"/>
        <v>min</v>
      </c>
      <c r="O351" s="36">
        <f>(IF(OR(A351="DWF",A351="DNF"),Données_Planning!J349,MOD(Données_Planning!J349,60)))</f>
        <v>0</v>
      </c>
      <c r="P351" s="28" t="str">
        <f t="shared" si="49"/>
        <v>s</v>
      </c>
      <c r="Q351" s="37">
        <f>(IF(OR(A351="DWF",A351="DNF"),0,QUOTIENT(Données_Planning!I349,60)))</f>
        <v>0</v>
      </c>
      <c r="R351" s="7" t="str">
        <f t="shared" si="50"/>
        <v>min</v>
      </c>
      <c r="S351" s="36">
        <f>(IF(OR(A351="DWF",A351="DNF"),Données_Planning!I349,MOD(Données_Planning!I349,60)))</f>
        <v>0</v>
      </c>
      <c r="T351" s="28" t="str">
        <f t="shared" si="51"/>
        <v>s</v>
      </c>
      <c r="U351" s="37">
        <f>(IF(OR(A351="DWF",A351="DNF"),0,QUOTIENT(Données_Planning!K349,60)))</f>
        <v>0</v>
      </c>
      <c r="V351" s="7" t="str">
        <f t="shared" si="52"/>
        <v>min</v>
      </c>
      <c r="W351" s="36">
        <f>(IF(OR(A351="DWF",A351="DNF"),Données_Planning!K349,MOD(Données_Planning!K349,60)))</f>
        <v>0</v>
      </c>
      <c r="X351" s="38" t="str">
        <f t="shared" si="53"/>
        <v>s</v>
      </c>
      <c r="Y351" s="42"/>
    </row>
    <row r="352" spans="1:25" ht="15.75" x14ac:dyDescent="0.25">
      <c r="A352" s="4">
        <f>Données_Planning!A350</f>
        <v>0</v>
      </c>
      <c r="B352" s="6">
        <f>Données_Planning!B350</f>
        <v>0</v>
      </c>
      <c r="C352" s="28">
        <f>Données_Planning!C350</f>
        <v>0</v>
      </c>
      <c r="D352" s="50">
        <f t="shared" si="45"/>
        <v>0</v>
      </c>
      <c r="E352" s="51">
        <f t="shared" si="46"/>
        <v>0</v>
      </c>
      <c r="F352" s="52">
        <f t="shared" si="47"/>
        <v>0</v>
      </c>
      <c r="G352" s="47">
        <f>Données_Planning!L350</f>
        <v>0</v>
      </c>
      <c r="H352" s="18">
        <f>Données_Planning!H350</f>
        <v>0</v>
      </c>
      <c r="I352" s="5">
        <f>Données_Planning!D350</f>
        <v>0</v>
      </c>
      <c r="J352" s="22">
        <f>Données_Planning!F350</f>
        <v>0</v>
      </c>
      <c r="K352" s="22">
        <f>Données_Planning!E350</f>
        <v>0</v>
      </c>
      <c r="L352" s="35">
        <f>Données_Planning!G350</f>
        <v>0</v>
      </c>
      <c r="M352" s="37">
        <f>(IF(OR(A352="DWF",A352="DNF"),0,QUOTIENT(Données_Planning!J350,60)))</f>
        <v>0</v>
      </c>
      <c r="N352" s="7" t="str">
        <f t="shared" si="48"/>
        <v>min</v>
      </c>
      <c r="O352" s="36">
        <f>(IF(OR(A352="DWF",A352="DNF"),Données_Planning!J350,MOD(Données_Planning!J350,60)))</f>
        <v>0</v>
      </c>
      <c r="P352" s="28" t="str">
        <f t="shared" si="49"/>
        <v>s</v>
      </c>
      <c r="Q352" s="37">
        <f>(IF(OR(A352="DWF",A352="DNF"),0,QUOTIENT(Données_Planning!I350,60)))</f>
        <v>0</v>
      </c>
      <c r="R352" s="7" t="str">
        <f t="shared" si="50"/>
        <v>min</v>
      </c>
      <c r="S352" s="36">
        <f>(IF(OR(A352="DWF",A352="DNF"),Données_Planning!I350,MOD(Données_Planning!I350,60)))</f>
        <v>0</v>
      </c>
      <c r="T352" s="28" t="str">
        <f t="shared" si="51"/>
        <v>s</v>
      </c>
      <c r="U352" s="37">
        <f>(IF(OR(A352="DWF",A352="DNF"),0,QUOTIENT(Données_Planning!K350,60)))</f>
        <v>0</v>
      </c>
      <c r="V352" s="7" t="str">
        <f t="shared" si="52"/>
        <v>min</v>
      </c>
      <c r="W352" s="36">
        <f>(IF(OR(A352="DWF",A352="DNF"),Données_Planning!K350,MOD(Données_Planning!K350,60)))</f>
        <v>0</v>
      </c>
      <c r="X352" s="38" t="str">
        <f t="shared" si="53"/>
        <v>s</v>
      </c>
      <c r="Y352" s="42"/>
    </row>
    <row r="353" spans="1:25" ht="15.75" x14ac:dyDescent="0.25">
      <c r="A353" s="4">
        <f>Données_Planning!A351</f>
        <v>0</v>
      </c>
      <c r="B353" s="6">
        <f>Données_Planning!B351</f>
        <v>0</v>
      </c>
      <c r="C353" s="28">
        <f>Données_Planning!C351</f>
        <v>0</v>
      </c>
      <c r="D353" s="50">
        <f t="shared" si="45"/>
        <v>0</v>
      </c>
      <c r="E353" s="51">
        <f t="shared" si="46"/>
        <v>0</v>
      </c>
      <c r="F353" s="52">
        <f t="shared" si="47"/>
        <v>0</v>
      </c>
      <c r="G353" s="47">
        <f>Données_Planning!L351</f>
        <v>0</v>
      </c>
      <c r="H353" s="18">
        <f>Données_Planning!H351</f>
        <v>0</v>
      </c>
      <c r="I353" s="5">
        <f>Données_Planning!D351</f>
        <v>0</v>
      </c>
      <c r="J353" s="22">
        <f>Données_Planning!F351</f>
        <v>0</v>
      </c>
      <c r="K353" s="22">
        <f>Données_Planning!E351</f>
        <v>0</v>
      </c>
      <c r="L353" s="35">
        <f>Données_Planning!G351</f>
        <v>0</v>
      </c>
      <c r="M353" s="37">
        <f>(IF(OR(A353="DWF",A353="DNF"),0,QUOTIENT(Données_Planning!J351,60)))</f>
        <v>0</v>
      </c>
      <c r="N353" s="7" t="str">
        <f t="shared" si="48"/>
        <v>min</v>
      </c>
      <c r="O353" s="36">
        <f>(IF(OR(A353="DWF",A353="DNF"),Données_Planning!J351,MOD(Données_Planning!J351,60)))</f>
        <v>0</v>
      </c>
      <c r="P353" s="28" t="str">
        <f t="shared" si="49"/>
        <v>s</v>
      </c>
      <c r="Q353" s="37">
        <f>(IF(OR(A353="DWF",A353="DNF"),0,QUOTIENT(Données_Planning!I351,60)))</f>
        <v>0</v>
      </c>
      <c r="R353" s="7" t="str">
        <f t="shared" si="50"/>
        <v>min</v>
      </c>
      <c r="S353" s="36">
        <f>(IF(OR(A353="DWF",A353="DNF"),Données_Planning!I351,MOD(Données_Planning!I351,60)))</f>
        <v>0</v>
      </c>
      <c r="T353" s="28" t="str">
        <f t="shared" si="51"/>
        <v>s</v>
      </c>
      <c r="U353" s="37">
        <f>(IF(OR(A353="DWF",A353="DNF"),0,QUOTIENT(Données_Planning!K351,60)))</f>
        <v>0</v>
      </c>
      <c r="V353" s="7" t="str">
        <f t="shared" si="52"/>
        <v>min</v>
      </c>
      <c r="W353" s="36">
        <f>(IF(OR(A353="DWF",A353="DNF"),Données_Planning!K351,MOD(Données_Planning!K351,60)))</f>
        <v>0</v>
      </c>
      <c r="X353" s="38" t="str">
        <f t="shared" si="53"/>
        <v>s</v>
      </c>
      <c r="Y353" s="42"/>
    </row>
    <row r="354" spans="1:25" ht="15.75" x14ac:dyDescent="0.25">
      <c r="A354" s="4">
        <f>Données_Planning!A352</f>
        <v>0</v>
      </c>
      <c r="B354" s="6">
        <f>Données_Planning!B352</f>
        <v>0</v>
      </c>
      <c r="C354" s="28">
        <f>Données_Planning!C352</f>
        <v>0</v>
      </c>
      <c r="D354" s="50">
        <f t="shared" si="45"/>
        <v>0</v>
      </c>
      <c r="E354" s="51">
        <f t="shared" si="46"/>
        <v>0</v>
      </c>
      <c r="F354" s="52">
        <f t="shared" si="47"/>
        <v>0</v>
      </c>
      <c r="G354" s="47">
        <f>Données_Planning!L352</f>
        <v>0</v>
      </c>
      <c r="H354" s="18">
        <f>Données_Planning!H352</f>
        <v>0</v>
      </c>
      <c r="I354" s="5">
        <f>Données_Planning!D352</f>
        <v>0</v>
      </c>
      <c r="J354" s="22">
        <f>Données_Planning!F352</f>
        <v>0</v>
      </c>
      <c r="K354" s="22">
        <f>Données_Planning!E352</f>
        <v>0</v>
      </c>
      <c r="L354" s="35">
        <f>Données_Planning!G352</f>
        <v>0</v>
      </c>
      <c r="M354" s="37">
        <f>(IF(OR(A354="DWF",A354="DNF"),0,QUOTIENT(Données_Planning!J352,60)))</f>
        <v>0</v>
      </c>
      <c r="N354" s="7" t="str">
        <f t="shared" si="48"/>
        <v>min</v>
      </c>
      <c r="O354" s="36">
        <f>(IF(OR(A354="DWF",A354="DNF"),Données_Planning!J352,MOD(Données_Planning!J352,60)))</f>
        <v>0</v>
      </c>
      <c r="P354" s="28" t="str">
        <f t="shared" si="49"/>
        <v>s</v>
      </c>
      <c r="Q354" s="37">
        <f>(IF(OR(A354="DWF",A354="DNF"),0,QUOTIENT(Données_Planning!I352,60)))</f>
        <v>0</v>
      </c>
      <c r="R354" s="7" t="str">
        <f t="shared" si="50"/>
        <v>min</v>
      </c>
      <c r="S354" s="36">
        <f>(IF(OR(A354="DWF",A354="DNF"),Données_Planning!I352,MOD(Données_Planning!I352,60)))</f>
        <v>0</v>
      </c>
      <c r="T354" s="28" t="str">
        <f t="shared" si="51"/>
        <v>s</v>
      </c>
      <c r="U354" s="37">
        <f>(IF(OR(A354="DWF",A354="DNF"),0,QUOTIENT(Données_Planning!K352,60)))</f>
        <v>0</v>
      </c>
      <c r="V354" s="7" t="str">
        <f t="shared" si="52"/>
        <v>min</v>
      </c>
      <c r="W354" s="36">
        <f>(IF(OR(A354="DWF",A354="DNF"),Données_Planning!K352,MOD(Données_Planning!K352,60)))</f>
        <v>0</v>
      </c>
      <c r="X354" s="38" t="str">
        <f t="shared" si="53"/>
        <v>s</v>
      </c>
      <c r="Y354" s="42"/>
    </row>
    <row r="355" spans="1:25" ht="15.75" x14ac:dyDescent="0.25">
      <c r="A355" s="4">
        <f>Données_Planning!A353</f>
        <v>0</v>
      </c>
      <c r="B355" s="6">
        <f>Données_Planning!B353</f>
        <v>0</v>
      </c>
      <c r="C355" s="28">
        <f>Données_Planning!C353</f>
        <v>0</v>
      </c>
      <c r="D355" s="50">
        <f t="shared" si="45"/>
        <v>0</v>
      </c>
      <c r="E355" s="51">
        <f t="shared" si="46"/>
        <v>0</v>
      </c>
      <c r="F355" s="52">
        <f t="shared" si="47"/>
        <v>0</v>
      </c>
      <c r="G355" s="47">
        <f>Données_Planning!L353</f>
        <v>0</v>
      </c>
      <c r="H355" s="18">
        <f>Données_Planning!H353</f>
        <v>0</v>
      </c>
      <c r="I355" s="5">
        <f>Données_Planning!D353</f>
        <v>0</v>
      </c>
      <c r="J355" s="22">
        <f>Données_Planning!F353</f>
        <v>0</v>
      </c>
      <c r="K355" s="22">
        <f>Données_Planning!E353</f>
        <v>0</v>
      </c>
      <c r="L355" s="35">
        <f>Données_Planning!G353</f>
        <v>0</v>
      </c>
      <c r="M355" s="37">
        <f>(IF(OR(A355="DWF",A355="DNF"),0,QUOTIENT(Données_Planning!J353,60)))</f>
        <v>0</v>
      </c>
      <c r="N355" s="7" t="str">
        <f t="shared" si="48"/>
        <v>min</v>
      </c>
      <c r="O355" s="36">
        <f>(IF(OR(A355="DWF",A355="DNF"),Données_Planning!J353,MOD(Données_Planning!J353,60)))</f>
        <v>0</v>
      </c>
      <c r="P355" s="28" t="str">
        <f t="shared" si="49"/>
        <v>s</v>
      </c>
      <c r="Q355" s="37">
        <f>(IF(OR(A355="DWF",A355="DNF"),0,QUOTIENT(Données_Planning!I353,60)))</f>
        <v>0</v>
      </c>
      <c r="R355" s="7" t="str">
        <f t="shared" si="50"/>
        <v>min</v>
      </c>
      <c r="S355" s="36">
        <f>(IF(OR(A355="DWF",A355="DNF"),Données_Planning!I353,MOD(Données_Planning!I353,60)))</f>
        <v>0</v>
      </c>
      <c r="T355" s="28" t="str">
        <f t="shared" si="51"/>
        <v>s</v>
      </c>
      <c r="U355" s="37">
        <f>(IF(OR(A355="DWF",A355="DNF"),0,QUOTIENT(Données_Planning!K353,60)))</f>
        <v>0</v>
      </c>
      <c r="V355" s="7" t="str">
        <f t="shared" si="52"/>
        <v>min</v>
      </c>
      <c r="W355" s="36">
        <f>(IF(OR(A355="DWF",A355="DNF"),Données_Planning!K353,MOD(Données_Planning!K353,60)))</f>
        <v>0</v>
      </c>
      <c r="X355" s="38" t="str">
        <f t="shared" si="53"/>
        <v>s</v>
      </c>
      <c r="Y355" s="42"/>
    </row>
    <row r="356" spans="1:25" ht="15.75" x14ac:dyDescent="0.25">
      <c r="A356" s="4">
        <f>Données_Planning!A354</f>
        <v>0</v>
      </c>
      <c r="B356" s="6">
        <f>Données_Planning!B354</f>
        <v>0</v>
      </c>
      <c r="C356" s="28">
        <f>Données_Planning!C354</f>
        <v>0</v>
      </c>
      <c r="D356" s="50">
        <f t="shared" si="45"/>
        <v>0</v>
      </c>
      <c r="E356" s="51">
        <f t="shared" si="46"/>
        <v>0</v>
      </c>
      <c r="F356" s="52">
        <f t="shared" si="47"/>
        <v>0</v>
      </c>
      <c r="G356" s="47">
        <f>Données_Planning!L354</f>
        <v>0</v>
      </c>
      <c r="H356" s="18">
        <f>Données_Planning!H354</f>
        <v>0</v>
      </c>
      <c r="I356" s="5">
        <f>Données_Planning!D354</f>
        <v>0</v>
      </c>
      <c r="J356" s="22">
        <f>Données_Planning!F354</f>
        <v>0</v>
      </c>
      <c r="K356" s="22">
        <f>Données_Planning!E354</f>
        <v>0</v>
      </c>
      <c r="L356" s="35">
        <f>Données_Planning!G354</f>
        <v>0</v>
      </c>
      <c r="M356" s="37">
        <f>(IF(OR(A356="DWF",A356="DNF"),0,QUOTIENT(Données_Planning!J354,60)))</f>
        <v>0</v>
      </c>
      <c r="N356" s="7" t="str">
        <f t="shared" si="48"/>
        <v>min</v>
      </c>
      <c r="O356" s="36">
        <f>(IF(OR(A356="DWF",A356="DNF"),Données_Planning!J354,MOD(Données_Planning!J354,60)))</f>
        <v>0</v>
      </c>
      <c r="P356" s="28" t="str">
        <f t="shared" si="49"/>
        <v>s</v>
      </c>
      <c r="Q356" s="37">
        <f>(IF(OR(A356="DWF",A356="DNF"),0,QUOTIENT(Données_Planning!I354,60)))</f>
        <v>0</v>
      </c>
      <c r="R356" s="7" t="str">
        <f t="shared" si="50"/>
        <v>min</v>
      </c>
      <c r="S356" s="36">
        <f>(IF(OR(A356="DWF",A356="DNF"),Données_Planning!I354,MOD(Données_Planning!I354,60)))</f>
        <v>0</v>
      </c>
      <c r="T356" s="28" t="str">
        <f t="shared" si="51"/>
        <v>s</v>
      </c>
      <c r="U356" s="37">
        <f>(IF(OR(A356="DWF",A356="DNF"),0,QUOTIENT(Données_Planning!K354,60)))</f>
        <v>0</v>
      </c>
      <c r="V356" s="7" t="str">
        <f t="shared" si="52"/>
        <v>min</v>
      </c>
      <c r="W356" s="36">
        <f>(IF(OR(A356="DWF",A356="DNF"),Données_Planning!K354,MOD(Données_Planning!K354,60)))</f>
        <v>0</v>
      </c>
      <c r="X356" s="38" t="str">
        <f t="shared" si="53"/>
        <v>s</v>
      </c>
      <c r="Y356" s="42"/>
    </row>
    <row r="357" spans="1:25" ht="15.75" x14ac:dyDescent="0.25">
      <c r="A357" s="4">
        <f>Données_Planning!A355</f>
        <v>0</v>
      </c>
      <c r="B357" s="6">
        <f>Données_Planning!B355</f>
        <v>0</v>
      </c>
      <c r="C357" s="28">
        <f>Données_Planning!C355</f>
        <v>0</v>
      </c>
      <c r="D357" s="50">
        <f t="shared" si="45"/>
        <v>0</v>
      </c>
      <c r="E357" s="51">
        <f t="shared" si="46"/>
        <v>0</v>
      </c>
      <c r="F357" s="52">
        <f t="shared" si="47"/>
        <v>0</v>
      </c>
      <c r="G357" s="47">
        <f>Données_Planning!L355</f>
        <v>0</v>
      </c>
      <c r="H357" s="18">
        <f>Données_Planning!H355</f>
        <v>0</v>
      </c>
      <c r="I357" s="5">
        <f>Données_Planning!D355</f>
        <v>0</v>
      </c>
      <c r="J357" s="22">
        <f>Données_Planning!F355</f>
        <v>0</v>
      </c>
      <c r="K357" s="22">
        <f>Données_Planning!E355</f>
        <v>0</v>
      </c>
      <c r="L357" s="35">
        <f>Données_Planning!G355</f>
        <v>0</v>
      </c>
      <c r="M357" s="37">
        <f>(IF(OR(A357="DWF",A357="DNF"),0,QUOTIENT(Données_Planning!J355,60)))</f>
        <v>0</v>
      </c>
      <c r="N357" s="7" t="str">
        <f t="shared" si="48"/>
        <v>min</v>
      </c>
      <c r="O357" s="36">
        <f>(IF(OR(A357="DWF",A357="DNF"),Données_Planning!J355,MOD(Données_Planning!J355,60)))</f>
        <v>0</v>
      </c>
      <c r="P357" s="28" t="str">
        <f t="shared" si="49"/>
        <v>s</v>
      </c>
      <c r="Q357" s="37">
        <f>(IF(OR(A357="DWF",A357="DNF"),0,QUOTIENT(Données_Planning!I355,60)))</f>
        <v>0</v>
      </c>
      <c r="R357" s="7" t="str">
        <f t="shared" si="50"/>
        <v>min</v>
      </c>
      <c r="S357" s="36">
        <f>(IF(OR(A357="DWF",A357="DNF"),Données_Planning!I355,MOD(Données_Planning!I355,60)))</f>
        <v>0</v>
      </c>
      <c r="T357" s="28" t="str">
        <f t="shared" si="51"/>
        <v>s</v>
      </c>
      <c r="U357" s="37">
        <f>(IF(OR(A357="DWF",A357="DNF"),0,QUOTIENT(Données_Planning!K355,60)))</f>
        <v>0</v>
      </c>
      <c r="V357" s="7" t="str">
        <f t="shared" si="52"/>
        <v>min</v>
      </c>
      <c r="W357" s="36">
        <f>(IF(OR(A357="DWF",A357="DNF"),Données_Planning!K355,MOD(Données_Planning!K355,60)))</f>
        <v>0</v>
      </c>
      <c r="X357" s="38" t="str">
        <f t="shared" si="53"/>
        <v>s</v>
      </c>
      <c r="Y357" s="42"/>
    </row>
    <row r="358" spans="1:25" ht="15.75" x14ac:dyDescent="0.25">
      <c r="A358" s="4">
        <f>Données_Planning!A356</f>
        <v>0</v>
      </c>
      <c r="B358" s="6">
        <f>Données_Planning!B356</f>
        <v>0</v>
      </c>
      <c r="C358" s="28">
        <f>Données_Planning!C356</f>
        <v>0</v>
      </c>
      <c r="D358" s="50">
        <f t="shared" si="45"/>
        <v>0</v>
      </c>
      <c r="E358" s="51">
        <f t="shared" si="46"/>
        <v>0</v>
      </c>
      <c r="F358" s="52">
        <f t="shared" si="47"/>
        <v>0</v>
      </c>
      <c r="G358" s="47">
        <f>Données_Planning!L356</f>
        <v>0</v>
      </c>
      <c r="H358" s="18">
        <f>Données_Planning!H356</f>
        <v>0</v>
      </c>
      <c r="I358" s="5">
        <f>Données_Planning!D356</f>
        <v>0</v>
      </c>
      <c r="J358" s="22">
        <f>Données_Planning!F356</f>
        <v>0</v>
      </c>
      <c r="K358" s="22">
        <f>Données_Planning!E356</f>
        <v>0</v>
      </c>
      <c r="L358" s="35">
        <f>Données_Planning!G356</f>
        <v>0</v>
      </c>
      <c r="M358" s="37">
        <f>(IF(OR(A358="DWF",A358="DNF"),0,QUOTIENT(Données_Planning!J356,60)))</f>
        <v>0</v>
      </c>
      <c r="N358" s="7" t="str">
        <f t="shared" si="48"/>
        <v>min</v>
      </c>
      <c r="O358" s="36">
        <f>(IF(OR(A358="DWF",A358="DNF"),Données_Planning!J356,MOD(Données_Planning!J356,60)))</f>
        <v>0</v>
      </c>
      <c r="P358" s="28" t="str">
        <f t="shared" si="49"/>
        <v>s</v>
      </c>
      <c r="Q358" s="37">
        <f>(IF(OR(A358="DWF",A358="DNF"),0,QUOTIENT(Données_Planning!I356,60)))</f>
        <v>0</v>
      </c>
      <c r="R358" s="7" t="str">
        <f t="shared" si="50"/>
        <v>min</v>
      </c>
      <c r="S358" s="36">
        <f>(IF(OR(A358="DWF",A358="DNF"),Données_Planning!I356,MOD(Données_Planning!I356,60)))</f>
        <v>0</v>
      </c>
      <c r="T358" s="28" t="str">
        <f t="shared" si="51"/>
        <v>s</v>
      </c>
      <c r="U358" s="37">
        <f>(IF(OR(A358="DWF",A358="DNF"),0,QUOTIENT(Données_Planning!K356,60)))</f>
        <v>0</v>
      </c>
      <c r="V358" s="7" t="str">
        <f t="shared" si="52"/>
        <v>min</v>
      </c>
      <c r="W358" s="36">
        <f>(IF(OR(A358="DWF",A358="DNF"),Données_Planning!K356,MOD(Données_Planning!K356,60)))</f>
        <v>0</v>
      </c>
      <c r="X358" s="38" t="str">
        <f t="shared" si="53"/>
        <v>s</v>
      </c>
      <c r="Y358" s="42"/>
    </row>
    <row r="359" spans="1:25" ht="15.75" x14ac:dyDescent="0.25">
      <c r="A359" s="4">
        <f>Données_Planning!A357</f>
        <v>0</v>
      </c>
      <c r="B359" s="6">
        <f>Données_Planning!B357</f>
        <v>0</v>
      </c>
      <c r="C359" s="28">
        <f>Données_Planning!C357</f>
        <v>0</v>
      </c>
      <c r="D359" s="50">
        <f t="shared" si="45"/>
        <v>0</v>
      </c>
      <c r="E359" s="51">
        <f t="shared" si="46"/>
        <v>0</v>
      </c>
      <c r="F359" s="52">
        <f t="shared" si="47"/>
        <v>0</v>
      </c>
      <c r="G359" s="47">
        <f>Données_Planning!L357</f>
        <v>0</v>
      </c>
      <c r="H359" s="18">
        <f>Données_Planning!H357</f>
        <v>0</v>
      </c>
      <c r="I359" s="5">
        <f>Données_Planning!D357</f>
        <v>0</v>
      </c>
      <c r="J359" s="22">
        <f>Données_Planning!F357</f>
        <v>0</v>
      </c>
      <c r="K359" s="22">
        <f>Données_Planning!E357</f>
        <v>0</v>
      </c>
      <c r="L359" s="35">
        <f>Données_Planning!G357</f>
        <v>0</v>
      </c>
      <c r="M359" s="37">
        <f>(IF(OR(A359="DWF",A359="DNF"),0,QUOTIENT(Données_Planning!J357,60)))</f>
        <v>0</v>
      </c>
      <c r="N359" s="7" t="str">
        <f t="shared" si="48"/>
        <v>min</v>
      </c>
      <c r="O359" s="36">
        <f>(IF(OR(A359="DWF",A359="DNF"),Données_Planning!J357,MOD(Données_Planning!J357,60)))</f>
        <v>0</v>
      </c>
      <c r="P359" s="28" t="str">
        <f t="shared" si="49"/>
        <v>s</v>
      </c>
      <c r="Q359" s="37">
        <f>(IF(OR(A359="DWF",A359="DNF"),0,QUOTIENT(Données_Planning!I357,60)))</f>
        <v>0</v>
      </c>
      <c r="R359" s="7" t="str">
        <f t="shared" si="50"/>
        <v>min</v>
      </c>
      <c r="S359" s="36">
        <f>(IF(OR(A359="DWF",A359="DNF"),Données_Planning!I357,MOD(Données_Planning!I357,60)))</f>
        <v>0</v>
      </c>
      <c r="T359" s="28" t="str">
        <f t="shared" si="51"/>
        <v>s</v>
      </c>
      <c r="U359" s="37">
        <f>(IF(OR(A359="DWF",A359="DNF"),0,QUOTIENT(Données_Planning!K357,60)))</f>
        <v>0</v>
      </c>
      <c r="V359" s="7" t="str">
        <f t="shared" si="52"/>
        <v>min</v>
      </c>
      <c r="W359" s="36">
        <f>(IF(OR(A359="DWF",A359="DNF"),Données_Planning!K357,MOD(Données_Planning!K357,60)))</f>
        <v>0</v>
      </c>
      <c r="X359" s="38" t="str">
        <f t="shared" si="53"/>
        <v>s</v>
      </c>
      <c r="Y359" s="42"/>
    </row>
    <row r="360" spans="1:25" ht="15.75" x14ac:dyDescent="0.25">
      <c r="A360" s="4">
        <f>Données_Planning!A358</f>
        <v>0</v>
      </c>
      <c r="B360" s="6">
        <f>Données_Planning!B358</f>
        <v>0</v>
      </c>
      <c r="C360" s="28">
        <f>Données_Planning!C358</f>
        <v>0</v>
      </c>
      <c r="D360" s="50">
        <f t="shared" si="45"/>
        <v>0</v>
      </c>
      <c r="E360" s="51">
        <f t="shared" si="46"/>
        <v>0</v>
      </c>
      <c r="F360" s="52">
        <f t="shared" si="47"/>
        <v>0</v>
      </c>
      <c r="G360" s="47">
        <f>Données_Planning!L358</f>
        <v>0</v>
      </c>
      <c r="H360" s="18">
        <f>Données_Planning!H358</f>
        <v>0</v>
      </c>
      <c r="I360" s="5">
        <f>Données_Planning!D358</f>
        <v>0</v>
      </c>
      <c r="J360" s="22">
        <f>Données_Planning!F358</f>
        <v>0</v>
      </c>
      <c r="K360" s="22">
        <f>Données_Planning!E358</f>
        <v>0</v>
      </c>
      <c r="L360" s="35">
        <f>Données_Planning!G358</f>
        <v>0</v>
      </c>
      <c r="M360" s="37">
        <f>(IF(OR(A360="DWF",A360="DNF"),0,QUOTIENT(Données_Planning!J358,60)))</f>
        <v>0</v>
      </c>
      <c r="N360" s="7" t="str">
        <f t="shared" si="48"/>
        <v>min</v>
      </c>
      <c r="O360" s="36">
        <f>(IF(OR(A360="DWF",A360="DNF"),Données_Planning!J358,MOD(Données_Planning!J358,60)))</f>
        <v>0</v>
      </c>
      <c r="P360" s="28" t="str">
        <f t="shared" si="49"/>
        <v>s</v>
      </c>
      <c r="Q360" s="37">
        <f>(IF(OR(A360="DWF",A360="DNF"),0,QUOTIENT(Données_Planning!I358,60)))</f>
        <v>0</v>
      </c>
      <c r="R360" s="7" t="str">
        <f t="shared" si="50"/>
        <v>min</v>
      </c>
      <c r="S360" s="36">
        <f>(IF(OR(A360="DWF",A360="DNF"),Données_Planning!I358,MOD(Données_Planning!I358,60)))</f>
        <v>0</v>
      </c>
      <c r="T360" s="28" t="str">
        <f t="shared" si="51"/>
        <v>s</v>
      </c>
      <c r="U360" s="37">
        <f>(IF(OR(A360="DWF",A360="DNF"),0,QUOTIENT(Données_Planning!K358,60)))</f>
        <v>0</v>
      </c>
      <c r="V360" s="7" t="str">
        <f t="shared" si="52"/>
        <v>min</v>
      </c>
      <c r="W360" s="36">
        <f>(IF(OR(A360="DWF",A360="DNF"),Données_Planning!K358,MOD(Données_Planning!K358,60)))</f>
        <v>0</v>
      </c>
      <c r="X360" s="38" t="str">
        <f t="shared" si="53"/>
        <v>s</v>
      </c>
      <c r="Y360" s="42"/>
    </row>
    <row r="361" spans="1:25" ht="15.75" x14ac:dyDescent="0.25">
      <c r="A361" s="4">
        <f>Données_Planning!A359</f>
        <v>0</v>
      </c>
      <c r="B361" s="6">
        <f>Données_Planning!B359</f>
        <v>0</v>
      </c>
      <c r="C361" s="28">
        <f>Données_Planning!C359</f>
        <v>0</v>
      </c>
      <c r="D361" s="50">
        <f t="shared" si="45"/>
        <v>0</v>
      </c>
      <c r="E361" s="51">
        <f t="shared" si="46"/>
        <v>0</v>
      </c>
      <c r="F361" s="52">
        <f t="shared" si="47"/>
        <v>0</v>
      </c>
      <c r="G361" s="47">
        <f>Données_Planning!L359</f>
        <v>0</v>
      </c>
      <c r="H361" s="18">
        <f>Données_Planning!H359</f>
        <v>0</v>
      </c>
      <c r="I361" s="5">
        <f>Données_Planning!D359</f>
        <v>0</v>
      </c>
      <c r="J361" s="22">
        <f>Données_Planning!F359</f>
        <v>0</v>
      </c>
      <c r="K361" s="22">
        <f>Données_Planning!E359</f>
        <v>0</v>
      </c>
      <c r="L361" s="35">
        <f>Données_Planning!G359</f>
        <v>0</v>
      </c>
      <c r="M361" s="37">
        <f>(IF(OR(A361="DWF",A361="DNF"),0,QUOTIENT(Données_Planning!J359,60)))</f>
        <v>0</v>
      </c>
      <c r="N361" s="7" t="str">
        <f t="shared" si="48"/>
        <v>min</v>
      </c>
      <c r="O361" s="36">
        <f>(IF(OR(A361="DWF",A361="DNF"),Données_Planning!J359,MOD(Données_Planning!J359,60)))</f>
        <v>0</v>
      </c>
      <c r="P361" s="28" t="str">
        <f t="shared" si="49"/>
        <v>s</v>
      </c>
      <c r="Q361" s="37">
        <f>(IF(OR(A361="DWF",A361="DNF"),0,QUOTIENT(Données_Planning!I359,60)))</f>
        <v>0</v>
      </c>
      <c r="R361" s="7" t="str">
        <f t="shared" si="50"/>
        <v>min</v>
      </c>
      <c r="S361" s="36">
        <f>(IF(OR(A361="DWF",A361="DNF"),Données_Planning!I359,MOD(Données_Planning!I359,60)))</f>
        <v>0</v>
      </c>
      <c r="T361" s="28" t="str">
        <f t="shared" si="51"/>
        <v>s</v>
      </c>
      <c r="U361" s="37">
        <f>(IF(OR(A361="DWF",A361="DNF"),0,QUOTIENT(Données_Planning!K359,60)))</f>
        <v>0</v>
      </c>
      <c r="V361" s="7" t="str">
        <f t="shared" si="52"/>
        <v>min</v>
      </c>
      <c r="W361" s="36">
        <f>(IF(OR(A361="DWF",A361="DNF"),Données_Planning!K359,MOD(Données_Planning!K359,60)))</f>
        <v>0</v>
      </c>
      <c r="X361" s="38" t="str">
        <f t="shared" si="53"/>
        <v>s</v>
      </c>
      <c r="Y361" s="42"/>
    </row>
    <row r="362" spans="1:25" ht="15.75" x14ac:dyDescent="0.25">
      <c r="A362" s="4">
        <f>Données_Planning!A360</f>
        <v>0</v>
      </c>
      <c r="B362" s="6">
        <f>Données_Planning!B360</f>
        <v>0</v>
      </c>
      <c r="C362" s="28">
        <f>Données_Planning!C360</f>
        <v>0</v>
      </c>
      <c r="D362" s="50">
        <f t="shared" si="45"/>
        <v>0</v>
      </c>
      <c r="E362" s="51">
        <f t="shared" si="46"/>
        <v>0</v>
      </c>
      <c r="F362" s="52">
        <f t="shared" si="47"/>
        <v>0</v>
      </c>
      <c r="G362" s="47">
        <f>Données_Planning!L360</f>
        <v>0</v>
      </c>
      <c r="H362" s="18">
        <f>Données_Planning!H360</f>
        <v>0</v>
      </c>
      <c r="I362" s="5">
        <f>Données_Planning!D360</f>
        <v>0</v>
      </c>
      <c r="J362" s="22">
        <f>Données_Planning!F360</f>
        <v>0</v>
      </c>
      <c r="K362" s="22">
        <f>Données_Planning!E360</f>
        <v>0</v>
      </c>
      <c r="L362" s="35">
        <f>Données_Planning!G360</f>
        <v>0</v>
      </c>
      <c r="M362" s="37">
        <f>(IF(OR(A362="DWF",A362="DNF"),0,QUOTIENT(Données_Planning!J360,60)))</f>
        <v>0</v>
      </c>
      <c r="N362" s="7" t="str">
        <f t="shared" si="48"/>
        <v>min</v>
      </c>
      <c r="O362" s="36">
        <f>(IF(OR(A362="DWF",A362="DNF"),Données_Planning!J360,MOD(Données_Planning!J360,60)))</f>
        <v>0</v>
      </c>
      <c r="P362" s="28" t="str">
        <f t="shared" si="49"/>
        <v>s</v>
      </c>
      <c r="Q362" s="37">
        <f>(IF(OR(A362="DWF",A362="DNF"),0,QUOTIENT(Données_Planning!I360,60)))</f>
        <v>0</v>
      </c>
      <c r="R362" s="7" t="str">
        <f t="shared" si="50"/>
        <v>min</v>
      </c>
      <c r="S362" s="36">
        <f>(IF(OR(A362="DWF",A362="DNF"),Données_Planning!I360,MOD(Données_Planning!I360,60)))</f>
        <v>0</v>
      </c>
      <c r="T362" s="28" t="str">
        <f t="shared" si="51"/>
        <v>s</v>
      </c>
      <c r="U362" s="37">
        <f>(IF(OR(A362="DWF",A362="DNF"),0,QUOTIENT(Données_Planning!K360,60)))</f>
        <v>0</v>
      </c>
      <c r="V362" s="7" t="str">
        <f t="shared" si="52"/>
        <v>min</v>
      </c>
      <c r="W362" s="36">
        <f>(IF(OR(A362="DWF",A362="DNF"),Données_Planning!K360,MOD(Données_Planning!K360,60)))</f>
        <v>0</v>
      </c>
      <c r="X362" s="38" t="str">
        <f t="shared" si="53"/>
        <v>s</v>
      </c>
      <c r="Y362" s="42"/>
    </row>
    <row r="363" spans="1:25" ht="15.75" x14ac:dyDescent="0.25">
      <c r="A363" s="4">
        <f>Données_Planning!A361</f>
        <v>0</v>
      </c>
      <c r="B363" s="6">
        <f>Données_Planning!B361</f>
        <v>0</v>
      </c>
      <c r="C363" s="28">
        <f>Données_Planning!C361</f>
        <v>0</v>
      </c>
      <c r="D363" s="50">
        <f t="shared" si="45"/>
        <v>0</v>
      </c>
      <c r="E363" s="51">
        <f t="shared" si="46"/>
        <v>0</v>
      </c>
      <c r="F363" s="52">
        <f t="shared" si="47"/>
        <v>0</v>
      </c>
      <c r="G363" s="47">
        <f>Données_Planning!L361</f>
        <v>0</v>
      </c>
      <c r="H363" s="18">
        <f>Données_Planning!H361</f>
        <v>0</v>
      </c>
      <c r="I363" s="5">
        <f>Données_Planning!D361</f>
        <v>0</v>
      </c>
      <c r="J363" s="22">
        <f>Données_Planning!F361</f>
        <v>0</v>
      </c>
      <c r="K363" s="22">
        <f>Données_Planning!E361</f>
        <v>0</v>
      </c>
      <c r="L363" s="35">
        <f>Données_Planning!G361</f>
        <v>0</v>
      </c>
      <c r="M363" s="37">
        <f>(IF(OR(A363="DWF",A363="DNF"),0,QUOTIENT(Données_Planning!J361,60)))</f>
        <v>0</v>
      </c>
      <c r="N363" s="7" t="str">
        <f t="shared" si="48"/>
        <v>min</v>
      </c>
      <c r="O363" s="36">
        <f>(IF(OR(A363="DWF",A363="DNF"),Données_Planning!J361,MOD(Données_Planning!J361,60)))</f>
        <v>0</v>
      </c>
      <c r="P363" s="28" t="str">
        <f t="shared" si="49"/>
        <v>s</v>
      </c>
      <c r="Q363" s="37">
        <f>(IF(OR(A363="DWF",A363="DNF"),0,QUOTIENT(Données_Planning!I361,60)))</f>
        <v>0</v>
      </c>
      <c r="R363" s="7" t="str">
        <f t="shared" si="50"/>
        <v>min</v>
      </c>
      <c r="S363" s="36">
        <f>(IF(OR(A363="DWF",A363="DNF"),Données_Planning!I361,MOD(Données_Planning!I361,60)))</f>
        <v>0</v>
      </c>
      <c r="T363" s="28" t="str">
        <f t="shared" si="51"/>
        <v>s</v>
      </c>
      <c r="U363" s="37">
        <f>(IF(OR(A363="DWF",A363="DNF"),0,QUOTIENT(Données_Planning!K361,60)))</f>
        <v>0</v>
      </c>
      <c r="V363" s="7" t="str">
        <f t="shared" si="52"/>
        <v>min</v>
      </c>
      <c r="W363" s="36">
        <f>(IF(OR(A363="DWF",A363="DNF"),Données_Planning!K361,MOD(Données_Planning!K361,60)))</f>
        <v>0</v>
      </c>
      <c r="X363" s="38" t="str">
        <f t="shared" si="53"/>
        <v>s</v>
      </c>
      <c r="Y363" s="42"/>
    </row>
    <row r="364" spans="1:25" ht="15.75" x14ac:dyDescent="0.25">
      <c r="A364" s="4">
        <f>Données_Planning!A362</f>
        <v>0</v>
      </c>
      <c r="B364" s="6">
        <f>Données_Planning!B362</f>
        <v>0</v>
      </c>
      <c r="C364" s="28">
        <f>Données_Planning!C362</f>
        <v>0</v>
      </c>
      <c r="D364" s="50">
        <f t="shared" si="45"/>
        <v>0</v>
      </c>
      <c r="E364" s="51">
        <f t="shared" si="46"/>
        <v>0</v>
      </c>
      <c r="F364" s="52">
        <f t="shared" si="47"/>
        <v>0</v>
      </c>
      <c r="G364" s="47">
        <f>Données_Planning!L362</f>
        <v>0</v>
      </c>
      <c r="H364" s="18">
        <f>Données_Planning!H362</f>
        <v>0</v>
      </c>
      <c r="I364" s="5">
        <f>Données_Planning!D362</f>
        <v>0</v>
      </c>
      <c r="J364" s="22">
        <f>Données_Planning!F362</f>
        <v>0</v>
      </c>
      <c r="K364" s="22">
        <f>Données_Planning!E362</f>
        <v>0</v>
      </c>
      <c r="L364" s="35">
        <f>Données_Planning!G362</f>
        <v>0</v>
      </c>
      <c r="M364" s="37">
        <f>(IF(OR(A364="DWF",A364="DNF"),0,QUOTIENT(Données_Planning!J362,60)))</f>
        <v>0</v>
      </c>
      <c r="N364" s="7" t="str">
        <f t="shared" si="48"/>
        <v>min</v>
      </c>
      <c r="O364" s="36">
        <f>(IF(OR(A364="DWF",A364="DNF"),Données_Planning!J362,MOD(Données_Planning!J362,60)))</f>
        <v>0</v>
      </c>
      <c r="P364" s="28" t="str">
        <f t="shared" si="49"/>
        <v>s</v>
      </c>
      <c r="Q364" s="37">
        <f>(IF(OR(A364="DWF",A364="DNF"),0,QUOTIENT(Données_Planning!I362,60)))</f>
        <v>0</v>
      </c>
      <c r="R364" s="7" t="str">
        <f t="shared" si="50"/>
        <v>min</v>
      </c>
      <c r="S364" s="36">
        <f>(IF(OR(A364="DWF",A364="DNF"),Données_Planning!I362,MOD(Données_Planning!I362,60)))</f>
        <v>0</v>
      </c>
      <c r="T364" s="28" t="str">
        <f t="shared" si="51"/>
        <v>s</v>
      </c>
      <c r="U364" s="37">
        <f>(IF(OR(A364="DWF",A364="DNF"),0,QUOTIENT(Données_Planning!K362,60)))</f>
        <v>0</v>
      </c>
      <c r="V364" s="7" t="str">
        <f t="shared" si="52"/>
        <v>min</v>
      </c>
      <c r="W364" s="36">
        <f>(IF(OR(A364="DWF",A364="DNF"),Données_Planning!K362,MOD(Données_Planning!K362,60)))</f>
        <v>0</v>
      </c>
      <c r="X364" s="38" t="str">
        <f t="shared" si="53"/>
        <v>s</v>
      </c>
      <c r="Y364" s="42"/>
    </row>
    <row r="365" spans="1:25" ht="15.75" x14ac:dyDescent="0.25">
      <c r="A365" s="4">
        <f>Données_Planning!A363</f>
        <v>0</v>
      </c>
      <c r="B365" s="6">
        <f>Données_Planning!B363</f>
        <v>0</v>
      </c>
      <c r="C365" s="28">
        <f>Données_Planning!C363</f>
        <v>0</v>
      </c>
      <c r="D365" s="50">
        <f t="shared" si="45"/>
        <v>0</v>
      </c>
      <c r="E365" s="51">
        <f t="shared" si="46"/>
        <v>0</v>
      </c>
      <c r="F365" s="52">
        <f t="shared" si="47"/>
        <v>0</v>
      </c>
      <c r="G365" s="47">
        <f>Données_Planning!L363</f>
        <v>0</v>
      </c>
      <c r="H365" s="18">
        <f>Données_Planning!H363</f>
        <v>0</v>
      </c>
      <c r="I365" s="5">
        <f>Données_Planning!D363</f>
        <v>0</v>
      </c>
      <c r="J365" s="22">
        <f>Données_Planning!F363</f>
        <v>0</v>
      </c>
      <c r="K365" s="22">
        <f>Données_Planning!E363</f>
        <v>0</v>
      </c>
      <c r="L365" s="35">
        <f>Données_Planning!G363</f>
        <v>0</v>
      </c>
      <c r="M365" s="37">
        <f>(IF(OR(A365="DWF",A365="DNF"),0,QUOTIENT(Données_Planning!J363,60)))</f>
        <v>0</v>
      </c>
      <c r="N365" s="7" t="str">
        <f t="shared" si="48"/>
        <v>min</v>
      </c>
      <c r="O365" s="36">
        <f>(IF(OR(A365="DWF",A365="DNF"),Données_Planning!J363,MOD(Données_Planning!J363,60)))</f>
        <v>0</v>
      </c>
      <c r="P365" s="28" t="str">
        <f t="shared" si="49"/>
        <v>s</v>
      </c>
      <c r="Q365" s="37">
        <f>(IF(OR(A365="DWF",A365="DNF"),0,QUOTIENT(Données_Planning!I363,60)))</f>
        <v>0</v>
      </c>
      <c r="R365" s="7" t="str">
        <f t="shared" si="50"/>
        <v>min</v>
      </c>
      <c r="S365" s="36">
        <f>(IF(OR(A365="DWF",A365="DNF"),Données_Planning!I363,MOD(Données_Planning!I363,60)))</f>
        <v>0</v>
      </c>
      <c r="T365" s="28" t="str">
        <f t="shared" si="51"/>
        <v>s</v>
      </c>
      <c r="U365" s="37">
        <f>(IF(OR(A365="DWF",A365="DNF"),0,QUOTIENT(Données_Planning!K363,60)))</f>
        <v>0</v>
      </c>
      <c r="V365" s="7" t="str">
        <f t="shared" si="52"/>
        <v>min</v>
      </c>
      <c r="W365" s="36">
        <f>(IF(OR(A365="DWF",A365="DNF"),Données_Planning!K363,MOD(Données_Planning!K363,60)))</f>
        <v>0</v>
      </c>
      <c r="X365" s="38" t="str">
        <f t="shared" si="53"/>
        <v>s</v>
      </c>
      <c r="Y365" s="42"/>
    </row>
    <row r="366" spans="1:25" ht="15.75" x14ac:dyDescent="0.25">
      <c r="A366" s="4">
        <f>Données_Planning!A364</f>
        <v>0</v>
      </c>
      <c r="B366" s="6">
        <f>Données_Planning!B364</f>
        <v>0</v>
      </c>
      <c r="C366" s="28">
        <f>Données_Planning!C364</f>
        <v>0</v>
      </c>
      <c r="D366" s="50">
        <f t="shared" si="45"/>
        <v>0</v>
      </c>
      <c r="E366" s="51">
        <f t="shared" si="46"/>
        <v>0</v>
      </c>
      <c r="F366" s="52">
        <f t="shared" si="47"/>
        <v>0</v>
      </c>
      <c r="G366" s="47">
        <f>Données_Planning!L364</f>
        <v>0</v>
      </c>
      <c r="H366" s="18">
        <f>Données_Planning!H364</f>
        <v>0</v>
      </c>
      <c r="I366" s="5">
        <f>Données_Planning!D364</f>
        <v>0</v>
      </c>
      <c r="J366" s="22">
        <f>Données_Planning!F364</f>
        <v>0</v>
      </c>
      <c r="K366" s="22">
        <f>Données_Planning!E364</f>
        <v>0</v>
      </c>
      <c r="L366" s="35">
        <f>Données_Planning!G364</f>
        <v>0</v>
      </c>
      <c r="M366" s="37">
        <f>(IF(OR(A366="DWF",A366="DNF"),0,QUOTIENT(Données_Planning!J364,60)))</f>
        <v>0</v>
      </c>
      <c r="N366" s="7" t="str">
        <f t="shared" si="48"/>
        <v>min</v>
      </c>
      <c r="O366" s="36">
        <f>(IF(OR(A366="DWF",A366="DNF"),Données_Planning!J364,MOD(Données_Planning!J364,60)))</f>
        <v>0</v>
      </c>
      <c r="P366" s="28" t="str">
        <f t="shared" si="49"/>
        <v>s</v>
      </c>
      <c r="Q366" s="37">
        <f>(IF(OR(A366="DWF",A366="DNF"),0,QUOTIENT(Données_Planning!I364,60)))</f>
        <v>0</v>
      </c>
      <c r="R366" s="7" t="str">
        <f t="shared" si="50"/>
        <v>min</v>
      </c>
      <c r="S366" s="36">
        <f>(IF(OR(A366="DWF",A366="DNF"),Données_Planning!I364,MOD(Données_Planning!I364,60)))</f>
        <v>0</v>
      </c>
      <c r="T366" s="28" t="str">
        <f t="shared" si="51"/>
        <v>s</v>
      </c>
      <c r="U366" s="37">
        <f>(IF(OR(A366="DWF",A366="DNF"),0,QUOTIENT(Données_Planning!K364,60)))</f>
        <v>0</v>
      </c>
      <c r="V366" s="7" t="str">
        <f t="shared" si="52"/>
        <v>min</v>
      </c>
      <c r="W366" s="36">
        <f>(IF(OR(A366="DWF",A366="DNF"),Données_Planning!K364,MOD(Données_Planning!K364,60)))</f>
        <v>0</v>
      </c>
      <c r="X366" s="38" t="str">
        <f t="shared" si="53"/>
        <v>s</v>
      </c>
      <c r="Y366" s="42"/>
    </row>
    <row r="367" spans="1:25" ht="15.75" x14ac:dyDescent="0.25">
      <c r="A367" s="4">
        <f>Données_Planning!A365</f>
        <v>0</v>
      </c>
      <c r="B367" s="6">
        <f>Données_Planning!B365</f>
        <v>0</v>
      </c>
      <c r="C367" s="28">
        <f>Données_Planning!C365</f>
        <v>0</v>
      </c>
      <c r="D367" s="50">
        <f t="shared" si="45"/>
        <v>0</v>
      </c>
      <c r="E367" s="51">
        <f t="shared" si="46"/>
        <v>0</v>
      </c>
      <c r="F367" s="52">
        <f t="shared" si="47"/>
        <v>0</v>
      </c>
      <c r="G367" s="47">
        <f>Données_Planning!L365</f>
        <v>0</v>
      </c>
      <c r="H367" s="18">
        <f>Données_Planning!H365</f>
        <v>0</v>
      </c>
      <c r="I367" s="5">
        <f>Données_Planning!D365</f>
        <v>0</v>
      </c>
      <c r="J367" s="22">
        <f>Données_Planning!F365</f>
        <v>0</v>
      </c>
      <c r="K367" s="22">
        <f>Données_Planning!E365</f>
        <v>0</v>
      </c>
      <c r="L367" s="35">
        <f>Données_Planning!G365</f>
        <v>0</v>
      </c>
      <c r="M367" s="37">
        <f>(IF(OR(A367="DWF",A367="DNF"),0,QUOTIENT(Données_Planning!J365,60)))</f>
        <v>0</v>
      </c>
      <c r="N367" s="7" t="str">
        <f t="shared" si="48"/>
        <v>min</v>
      </c>
      <c r="O367" s="36">
        <f>(IF(OR(A367="DWF",A367="DNF"),Données_Planning!J365,MOD(Données_Planning!J365,60)))</f>
        <v>0</v>
      </c>
      <c r="P367" s="28" t="str">
        <f t="shared" si="49"/>
        <v>s</v>
      </c>
      <c r="Q367" s="37">
        <f>(IF(OR(A367="DWF",A367="DNF"),0,QUOTIENT(Données_Planning!I365,60)))</f>
        <v>0</v>
      </c>
      <c r="R367" s="7" t="str">
        <f t="shared" si="50"/>
        <v>min</v>
      </c>
      <c r="S367" s="36">
        <f>(IF(OR(A367="DWF",A367="DNF"),Données_Planning!I365,MOD(Données_Planning!I365,60)))</f>
        <v>0</v>
      </c>
      <c r="T367" s="28" t="str">
        <f t="shared" si="51"/>
        <v>s</v>
      </c>
      <c r="U367" s="37">
        <f>(IF(OR(A367="DWF",A367="DNF"),0,QUOTIENT(Données_Planning!K365,60)))</f>
        <v>0</v>
      </c>
      <c r="V367" s="7" t="str">
        <f t="shared" si="52"/>
        <v>min</v>
      </c>
      <c r="W367" s="36">
        <f>(IF(OR(A367="DWF",A367="DNF"),Données_Planning!K365,MOD(Données_Planning!K365,60)))</f>
        <v>0</v>
      </c>
      <c r="X367" s="38" t="str">
        <f t="shared" si="53"/>
        <v>s</v>
      </c>
      <c r="Y367" s="42"/>
    </row>
    <row r="368" spans="1:25" ht="15.75" x14ac:dyDescent="0.25">
      <c r="A368" s="4">
        <f>Données_Planning!A366</f>
        <v>0</v>
      </c>
      <c r="B368" s="6">
        <f>Données_Planning!B366</f>
        <v>0</v>
      </c>
      <c r="C368" s="28">
        <f>Données_Planning!C366</f>
        <v>0</v>
      </c>
      <c r="D368" s="50">
        <f t="shared" si="45"/>
        <v>0</v>
      </c>
      <c r="E368" s="51">
        <f t="shared" si="46"/>
        <v>0</v>
      </c>
      <c r="F368" s="52">
        <f t="shared" si="47"/>
        <v>0</v>
      </c>
      <c r="G368" s="47">
        <f>Données_Planning!L366</f>
        <v>0</v>
      </c>
      <c r="H368" s="18">
        <f>Données_Planning!H366</f>
        <v>0</v>
      </c>
      <c r="I368" s="5">
        <f>Données_Planning!D366</f>
        <v>0</v>
      </c>
      <c r="J368" s="22">
        <f>Données_Planning!F366</f>
        <v>0</v>
      </c>
      <c r="K368" s="22">
        <f>Données_Planning!E366</f>
        <v>0</v>
      </c>
      <c r="L368" s="35">
        <f>Données_Planning!G366</f>
        <v>0</v>
      </c>
      <c r="M368" s="37">
        <f>(IF(OR(A368="DWF",A368="DNF"),0,QUOTIENT(Données_Planning!J366,60)))</f>
        <v>0</v>
      </c>
      <c r="N368" s="7" t="str">
        <f t="shared" si="48"/>
        <v>min</v>
      </c>
      <c r="O368" s="36">
        <f>(IF(OR(A368="DWF",A368="DNF"),Données_Planning!J366,MOD(Données_Planning!J366,60)))</f>
        <v>0</v>
      </c>
      <c r="P368" s="28" t="str">
        <f t="shared" si="49"/>
        <v>s</v>
      </c>
      <c r="Q368" s="37">
        <f>(IF(OR(A368="DWF",A368="DNF"),0,QUOTIENT(Données_Planning!I366,60)))</f>
        <v>0</v>
      </c>
      <c r="R368" s="7" t="str">
        <f t="shared" si="50"/>
        <v>min</v>
      </c>
      <c r="S368" s="36">
        <f>(IF(OR(A368="DWF",A368="DNF"),Données_Planning!I366,MOD(Données_Planning!I366,60)))</f>
        <v>0</v>
      </c>
      <c r="T368" s="28" t="str">
        <f t="shared" si="51"/>
        <v>s</v>
      </c>
      <c r="U368" s="37">
        <f>(IF(OR(A368="DWF",A368="DNF"),0,QUOTIENT(Données_Planning!K366,60)))</f>
        <v>0</v>
      </c>
      <c r="V368" s="7" t="str">
        <f t="shared" si="52"/>
        <v>min</v>
      </c>
      <c r="W368" s="36">
        <f>(IF(OR(A368="DWF",A368="DNF"),Données_Planning!K366,MOD(Données_Planning!K366,60)))</f>
        <v>0</v>
      </c>
      <c r="X368" s="38" t="str">
        <f t="shared" si="53"/>
        <v>s</v>
      </c>
      <c r="Y368" s="42"/>
    </row>
    <row r="369" spans="1:25" ht="15.75" x14ac:dyDescent="0.25">
      <c r="A369" s="4">
        <f>Données_Planning!A367</f>
        <v>0</v>
      </c>
      <c r="B369" s="6">
        <f>Données_Planning!B367</f>
        <v>0</v>
      </c>
      <c r="C369" s="28">
        <f>Données_Planning!C367</f>
        <v>0</v>
      </c>
      <c r="D369" s="50">
        <f t="shared" si="45"/>
        <v>0</v>
      </c>
      <c r="E369" s="51">
        <f t="shared" si="46"/>
        <v>0</v>
      </c>
      <c r="F369" s="52">
        <f t="shared" si="47"/>
        <v>0</v>
      </c>
      <c r="G369" s="47">
        <f>Données_Planning!L367</f>
        <v>0</v>
      </c>
      <c r="H369" s="18">
        <f>Données_Planning!H367</f>
        <v>0</v>
      </c>
      <c r="I369" s="5">
        <f>Données_Planning!D367</f>
        <v>0</v>
      </c>
      <c r="J369" s="22">
        <f>Données_Planning!F367</f>
        <v>0</v>
      </c>
      <c r="K369" s="22">
        <f>Données_Planning!E367</f>
        <v>0</v>
      </c>
      <c r="L369" s="35">
        <f>Données_Planning!G367</f>
        <v>0</v>
      </c>
      <c r="M369" s="37">
        <f>(IF(OR(A369="DWF",A369="DNF"),0,QUOTIENT(Données_Planning!J367,60)))</f>
        <v>0</v>
      </c>
      <c r="N369" s="7" t="str">
        <f t="shared" si="48"/>
        <v>min</v>
      </c>
      <c r="O369" s="36">
        <f>(IF(OR(A369="DWF",A369="DNF"),Données_Planning!J367,MOD(Données_Planning!J367,60)))</f>
        <v>0</v>
      </c>
      <c r="P369" s="28" t="str">
        <f t="shared" si="49"/>
        <v>s</v>
      </c>
      <c r="Q369" s="37">
        <f>(IF(OR(A369="DWF",A369="DNF"),0,QUOTIENT(Données_Planning!I367,60)))</f>
        <v>0</v>
      </c>
      <c r="R369" s="7" t="str">
        <f t="shared" si="50"/>
        <v>min</v>
      </c>
      <c r="S369" s="36">
        <f>(IF(OR(A369="DWF",A369="DNF"),Données_Planning!I367,MOD(Données_Planning!I367,60)))</f>
        <v>0</v>
      </c>
      <c r="T369" s="28" t="str">
        <f t="shared" si="51"/>
        <v>s</v>
      </c>
      <c r="U369" s="37">
        <f>(IF(OR(A369="DWF",A369="DNF"),0,QUOTIENT(Données_Planning!K367,60)))</f>
        <v>0</v>
      </c>
      <c r="V369" s="7" t="str">
        <f t="shared" si="52"/>
        <v>min</v>
      </c>
      <c r="W369" s="36">
        <f>(IF(OR(A369="DWF",A369="DNF"),Données_Planning!K367,MOD(Données_Planning!K367,60)))</f>
        <v>0</v>
      </c>
      <c r="X369" s="38" t="str">
        <f t="shared" si="53"/>
        <v>s</v>
      </c>
      <c r="Y369" s="42"/>
    </row>
    <row r="370" spans="1:25" ht="15.75" x14ac:dyDescent="0.25">
      <c r="A370" s="4">
        <f>Données_Planning!A368</f>
        <v>0</v>
      </c>
      <c r="B370" s="6">
        <f>Données_Planning!B368</f>
        <v>0</v>
      </c>
      <c r="C370" s="28">
        <f>Données_Planning!C368</f>
        <v>0</v>
      </c>
      <c r="D370" s="50">
        <f t="shared" si="45"/>
        <v>0</v>
      </c>
      <c r="E370" s="51">
        <f t="shared" si="46"/>
        <v>0</v>
      </c>
      <c r="F370" s="52">
        <f t="shared" si="47"/>
        <v>0</v>
      </c>
      <c r="G370" s="47">
        <f>Données_Planning!L368</f>
        <v>0</v>
      </c>
      <c r="H370" s="18">
        <f>Données_Planning!H368</f>
        <v>0</v>
      </c>
      <c r="I370" s="5">
        <f>Données_Planning!D368</f>
        <v>0</v>
      </c>
      <c r="J370" s="22">
        <f>Données_Planning!F368</f>
        <v>0</v>
      </c>
      <c r="K370" s="22">
        <f>Données_Planning!E368</f>
        <v>0</v>
      </c>
      <c r="L370" s="35">
        <f>Données_Planning!G368</f>
        <v>0</v>
      </c>
      <c r="M370" s="37">
        <f>(IF(OR(A370="DWF",A370="DNF"),0,QUOTIENT(Données_Planning!J368,60)))</f>
        <v>0</v>
      </c>
      <c r="N370" s="7" t="str">
        <f t="shared" si="48"/>
        <v>min</v>
      </c>
      <c r="O370" s="36">
        <f>(IF(OR(A370="DWF",A370="DNF"),Données_Planning!J368,MOD(Données_Planning!J368,60)))</f>
        <v>0</v>
      </c>
      <c r="P370" s="28" t="str">
        <f t="shared" si="49"/>
        <v>s</v>
      </c>
      <c r="Q370" s="37">
        <f>(IF(OR(A370="DWF",A370="DNF"),0,QUOTIENT(Données_Planning!I368,60)))</f>
        <v>0</v>
      </c>
      <c r="R370" s="7" t="str">
        <f t="shared" si="50"/>
        <v>min</v>
      </c>
      <c r="S370" s="36">
        <f>(IF(OR(A370="DWF",A370="DNF"),Données_Planning!I368,MOD(Données_Planning!I368,60)))</f>
        <v>0</v>
      </c>
      <c r="T370" s="28" t="str">
        <f t="shared" si="51"/>
        <v>s</v>
      </c>
      <c r="U370" s="37">
        <f>(IF(OR(A370="DWF",A370="DNF"),0,QUOTIENT(Données_Planning!K368,60)))</f>
        <v>0</v>
      </c>
      <c r="V370" s="7" t="str">
        <f t="shared" si="52"/>
        <v>min</v>
      </c>
      <c r="W370" s="36">
        <f>(IF(OR(A370="DWF",A370="DNF"),Données_Planning!K368,MOD(Données_Planning!K368,60)))</f>
        <v>0</v>
      </c>
      <c r="X370" s="38" t="str">
        <f t="shared" si="53"/>
        <v>s</v>
      </c>
      <c r="Y370" s="42"/>
    </row>
    <row r="371" spans="1:25" ht="15.75" x14ac:dyDescent="0.25">
      <c r="A371" s="4">
        <f>Données_Planning!A369</f>
        <v>0</v>
      </c>
      <c r="B371" s="6">
        <f>Données_Planning!B369</f>
        <v>0</v>
      </c>
      <c r="C371" s="28">
        <f>Données_Planning!C369</f>
        <v>0</v>
      </c>
      <c r="D371" s="50">
        <f t="shared" si="45"/>
        <v>0</v>
      </c>
      <c r="E371" s="51">
        <f t="shared" si="46"/>
        <v>0</v>
      </c>
      <c r="F371" s="52">
        <f t="shared" si="47"/>
        <v>0</v>
      </c>
      <c r="G371" s="47">
        <f>Données_Planning!L369</f>
        <v>0</v>
      </c>
      <c r="H371" s="18">
        <f>Données_Planning!H369</f>
        <v>0</v>
      </c>
      <c r="I371" s="5">
        <f>Données_Planning!D369</f>
        <v>0</v>
      </c>
      <c r="J371" s="22">
        <f>Données_Planning!F369</f>
        <v>0</v>
      </c>
      <c r="K371" s="22">
        <f>Données_Planning!E369</f>
        <v>0</v>
      </c>
      <c r="L371" s="35">
        <f>Données_Planning!G369</f>
        <v>0</v>
      </c>
      <c r="M371" s="37">
        <f>(IF(OR(A371="DWF",A371="DNF"),0,QUOTIENT(Données_Planning!J369,60)))</f>
        <v>0</v>
      </c>
      <c r="N371" s="7" t="str">
        <f t="shared" si="48"/>
        <v>min</v>
      </c>
      <c r="O371" s="36">
        <f>(IF(OR(A371="DWF",A371="DNF"),Données_Planning!J369,MOD(Données_Planning!J369,60)))</f>
        <v>0</v>
      </c>
      <c r="P371" s="28" t="str">
        <f t="shared" si="49"/>
        <v>s</v>
      </c>
      <c r="Q371" s="37">
        <f>(IF(OR(A371="DWF",A371="DNF"),0,QUOTIENT(Données_Planning!I369,60)))</f>
        <v>0</v>
      </c>
      <c r="R371" s="7" t="str">
        <f t="shared" si="50"/>
        <v>min</v>
      </c>
      <c r="S371" s="36">
        <f>(IF(OR(A371="DWF",A371="DNF"),Données_Planning!I369,MOD(Données_Planning!I369,60)))</f>
        <v>0</v>
      </c>
      <c r="T371" s="28" t="str">
        <f t="shared" si="51"/>
        <v>s</v>
      </c>
      <c r="U371" s="37">
        <f>(IF(OR(A371="DWF",A371="DNF"),0,QUOTIENT(Données_Planning!K369,60)))</f>
        <v>0</v>
      </c>
      <c r="V371" s="7" t="str">
        <f t="shared" si="52"/>
        <v>min</v>
      </c>
      <c r="W371" s="36">
        <f>(IF(OR(A371="DWF",A371="DNF"),Données_Planning!K369,MOD(Données_Planning!K369,60)))</f>
        <v>0</v>
      </c>
      <c r="X371" s="38" t="str">
        <f t="shared" si="53"/>
        <v>s</v>
      </c>
      <c r="Y371" s="42"/>
    </row>
    <row r="372" spans="1:25" ht="15.75" x14ac:dyDescent="0.25">
      <c r="A372" s="4">
        <f>Données_Planning!A370</f>
        <v>0</v>
      </c>
      <c r="B372" s="6">
        <f>Données_Planning!B370</f>
        <v>0</v>
      </c>
      <c r="C372" s="28">
        <f>Données_Planning!C370</f>
        <v>0</v>
      </c>
      <c r="D372" s="50">
        <f t="shared" si="45"/>
        <v>0</v>
      </c>
      <c r="E372" s="51">
        <f t="shared" si="46"/>
        <v>0</v>
      </c>
      <c r="F372" s="52">
        <f t="shared" si="47"/>
        <v>0</v>
      </c>
      <c r="G372" s="47">
        <f>Données_Planning!L370</f>
        <v>0</v>
      </c>
      <c r="H372" s="18">
        <f>Données_Planning!H370</f>
        <v>0</v>
      </c>
      <c r="I372" s="5">
        <f>Données_Planning!D370</f>
        <v>0</v>
      </c>
      <c r="J372" s="22">
        <f>Données_Planning!F370</f>
        <v>0</v>
      </c>
      <c r="K372" s="22">
        <f>Données_Planning!E370</f>
        <v>0</v>
      </c>
      <c r="L372" s="35">
        <f>Données_Planning!G370</f>
        <v>0</v>
      </c>
      <c r="M372" s="37">
        <f>(IF(OR(A372="DWF",A372="DNF"),0,QUOTIENT(Données_Planning!J370,60)))</f>
        <v>0</v>
      </c>
      <c r="N372" s="7" t="str">
        <f t="shared" si="48"/>
        <v>min</v>
      </c>
      <c r="O372" s="36">
        <f>(IF(OR(A372="DWF",A372="DNF"),Données_Planning!J370,MOD(Données_Planning!J370,60)))</f>
        <v>0</v>
      </c>
      <c r="P372" s="28" t="str">
        <f t="shared" si="49"/>
        <v>s</v>
      </c>
      <c r="Q372" s="37">
        <f>(IF(OR(A372="DWF",A372="DNF"),0,QUOTIENT(Données_Planning!I370,60)))</f>
        <v>0</v>
      </c>
      <c r="R372" s="7" t="str">
        <f t="shared" si="50"/>
        <v>min</v>
      </c>
      <c r="S372" s="36">
        <f>(IF(OR(A372="DWF",A372="DNF"),Données_Planning!I370,MOD(Données_Planning!I370,60)))</f>
        <v>0</v>
      </c>
      <c r="T372" s="28" t="str">
        <f t="shared" si="51"/>
        <v>s</v>
      </c>
      <c r="U372" s="37">
        <f>(IF(OR(A372="DWF",A372="DNF"),0,QUOTIENT(Données_Planning!K370,60)))</f>
        <v>0</v>
      </c>
      <c r="V372" s="7" t="str">
        <f t="shared" si="52"/>
        <v>min</v>
      </c>
      <c r="W372" s="36">
        <f>(IF(OR(A372="DWF",A372="DNF"),Données_Planning!K370,MOD(Données_Planning!K370,60)))</f>
        <v>0</v>
      </c>
      <c r="X372" s="38" t="str">
        <f t="shared" si="53"/>
        <v>s</v>
      </c>
      <c r="Y372" s="42"/>
    </row>
    <row r="373" spans="1:25" ht="15.75" x14ac:dyDescent="0.25">
      <c r="A373" s="4">
        <f>Données_Planning!A371</f>
        <v>0</v>
      </c>
      <c r="B373" s="6">
        <f>Données_Planning!B371</f>
        <v>0</v>
      </c>
      <c r="C373" s="28">
        <f>Données_Planning!C371</f>
        <v>0</v>
      </c>
      <c r="D373" s="50">
        <f t="shared" si="45"/>
        <v>0</v>
      </c>
      <c r="E373" s="51">
        <f t="shared" si="46"/>
        <v>0</v>
      </c>
      <c r="F373" s="52">
        <f t="shared" si="47"/>
        <v>0</v>
      </c>
      <c r="G373" s="47">
        <f>Données_Planning!L371</f>
        <v>0</v>
      </c>
      <c r="H373" s="18">
        <f>Données_Planning!H371</f>
        <v>0</v>
      </c>
      <c r="I373" s="5">
        <f>Données_Planning!D371</f>
        <v>0</v>
      </c>
      <c r="J373" s="22">
        <f>Données_Planning!F371</f>
        <v>0</v>
      </c>
      <c r="K373" s="22">
        <f>Données_Planning!E371</f>
        <v>0</v>
      </c>
      <c r="L373" s="35">
        <f>Données_Planning!G371</f>
        <v>0</v>
      </c>
      <c r="M373" s="37">
        <f>(IF(OR(A373="DWF",A373="DNF"),0,QUOTIENT(Données_Planning!J371,60)))</f>
        <v>0</v>
      </c>
      <c r="N373" s="7" t="str">
        <f t="shared" si="48"/>
        <v>min</v>
      </c>
      <c r="O373" s="36">
        <f>(IF(OR(A373="DWF",A373="DNF"),Données_Planning!J371,MOD(Données_Planning!J371,60)))</f>
        <v>0</v>
      </c>
      <c r="P373" s="28" t="str">
        <f t="shared" si="49"/>
        <v>s</v>
      </c>
      <c r="Q373" s="37">
        <f>(IF(OR(A373="DWF",A373="DNF"),0,QUOTIENT(Données_Planning!I371,60)))</f>
        <v>0</v>
      </c>
      <c r="R373" s="7" t="str">
        <f t="shared" si="50"/>
        <v>min</v>
      </c>
      <c r="S373" s="36">
        <f>(IF(OR(A373="DWF",A373="DNF"),Données_Planning!I371,MOD(Données_Planning!I371,60)))</f>
        <v>0</v>
      </c>
      <c r="T373" s="28" t="str">
        <f t="shared" si="51"/>
        <v>s</v>
      </c>
      <c r="U373" s="37">
        <f>(IF(OR(A373="DWF",A373="DNF"),0,QUOTIENT(Données_Planning!K371,60)))</f>
        <v>0</v>
      </c>
      <c r="V373" s="7" t="str">
        <f t="shared" si="52"/>
        <v>min</v>
      </c>
      <c r="W373" s="36">
        <f>(IF(OR(A373="DWF",A373="DNF"),Données_Planning!K371,MOD(Données_Planning!K371,60)))</f>
        <v>0</v>
      </c>
      <c r="X373" s="38" t="str">
        <f t="shared" si="53"/>
        <v>s</v>
      </c>
      <c r="Y373" s="42"/>
    </row>
    <row r="374" spans="1:25" ht="15.75" x14ac:dyDescent="0.25">
      <c r="A374" s="4">
        <f>Données_Planning!A372</f>
        <v>0</v>
      </c>
      <c r="B374" s="6">
        <f>Données_Planning!B372</f>
        <v>0</v>
      </c>
      <c r="C374" s="28">
        <f>Données_Planning!C372</f>
        <v>0</v>
      </c>
      <c r="D374" s="50">
        <f t="shared" si="45"/>
        <v>0</v>
      </c>
      <c r="E374" s="51">
        <f t="shared" si="46"/>
        <v>0</v>
      </c>
      <c r="F374" s="52">
        <f t="shared" si="47"/>
        <v>0</v>
      </c>
      <c r="G374" s="47">
        <f>Données_Planning!L372</f>
        <v>0</v>
      </c>
      <c r="H374" s="18">
        <f>Données_Planning!H372</f>
        <v>0</v>
      </c>
      <c r="I374" s="5">
        <f>Données_Planning!D372</f>
        <v>0</v>
      </c>
      <c r="J374" s="22">
        <f>Données_Planning!F372</f>
        <v>0</v>
      </c>
      <c r="K374" s="22">
        <f>Données_Planning!E372</f>
        <v>0</v>
      </c>
      <c r="L374" s="35">
        <f>Données_Planning!G372</f>
        <v>0</v>
      </c>
      <c r="M374" s="37">
        <f>(IF(OR(A374="DWF",A374="DNF"),0,QUOTIENT(Données_Planning!J372,60)))</f>
        <v>0</v>
      </c>
      <c r="N374" s="7" t="str">
        <f t="shared" si="48"/>
        <v>min</v>
      </c>
      <c r="O374" s="36">
        <f>(IF(OR(A374="DWF",A374="DNF"),Données_Planning!J372,MOD(Données_Planning!J372,60)))</f>
        <v>0</v>
      </c>
      <c r="P374" s="28" t="str">
        <f t="shared" si="49"/>
        <v>s</v>
      </c>
      <c r="Q374" s="37">
        <f>(IF(OR(A374="DWF",A374="DNF"),0,QUOTIENT(Données_Planning!I372,60)))</f>
        <v>0</v>
      </c>
      <c r="R374" s="7" t="str">
        <f t="shared" si="50"/>
        <v>min</v>
      </c>
      <c r="S374" s="36">
        <f>(IF(OR(A374="DWF",A374="DNF"),Données_Planning!I372,MOD(Données_Planning!I372,60)))</f>
        <v>0</v>
      </c>
      <c r="T374" s="28" t="str">
        <f t="shared" si="51"/>
        <v>s</v>
      </c>
      <c r="U374" s="37">
        <f>(IF(OR(A374="DWF",A374="DNF"),0,QUOTIENT(Données_Planning!K372,60)))</f>
        <v>0</v>
      </c>
      <c r="V374" s="7" t="str">
        <f t="shared" si="52"/>
        <v>min</v>
      </c>
      <c r="W374" s="36">
        <f>(IF(OR(A374="DWF",A374="DNF"),Données_Planning!K372,MOD(Données_Planning!K372,60)))</f>
        <v>0</v>
      </c>
      <c r="X374" s="38" t="str">
        <f t="shared" si="53"/>
        <v>s</v>
      </c>
      <c r="Y374" s="42"/>
    </row>
    <row r="375" spans="1:25" ht="15.75" x14ac:dyDescent="0.25">
      <c r="A375" s="4">
        <f>Données_Planning!A373</f>
        <v>0</v>
      </c>
      <c r="B375" s="6">
        <f>Données_Planning!B373</f>
        <v>0</v>
      </c>
      <c r="C375" s="28">
        <f>Données_Planning!C373</f>
        <v>0</v>
      </c>
      <c r="D375" s="50">
        <f t="shared" si="45"/>
        <v>0</v>
      </c>
      <c r="E375" s="51">
        <f t="shared" si="46"/>
        <v>0</v>
      </c>
      <c r="F375" s="52">
        <f t="shared" si="47"/>
        <v>0</v>
      </c>
      <c r="G375" s="47">
        <f>Données_Planning!L373</f>
        <v>0</v>
      </c>
      <c r="H375" s="18">
        <f>Données_Planning!H373</f>
        <v>0</v>
      </c>
      <c r="I375" s="5">
        <f>Données_Planning!D373</f>
        <v>0</v>
      </c>
      <c r="J375" s="22">
        <f>Données_Planning!F373</f>
        <v>0</v>
      </c>
      <c r="K375" s="22">
        <f>Données_Planning!E373</f>
        <v>0</v>
      </c>
      <c r="L375" s="35">
        <f>Données_Planning!G373</f>
        <v>0</v>
      </c>
      <c r="M375" s="37">
        <f>(IF(OR(A375="DWF",A375="DNF"),0,QUOTIENT(Données_Planning!J373,60)))</f>
        <v>0</v>
      </c>
      <c r="N375" s="7" t="str">
        <f t="shared" si="48"/>
        <v>min</v>
      </c>
      <c r="O375" s="36">
        <f>(IF(OR(A375="DWF",A375="DNF"),Données_Planning!J373,MOD(Données_Planning!J373,60)))</f>
        <v>0</v>
      </c>
      <c r="P375" s="28" t="str">
        <f t="shared" si="49"/>
        <v>s</v>
      </c>
      <c r="Q375" s="37">
        <f>(IF(OR(A375="DWF",A375="DNF"),0,QUOTIENT(Données_Planning!I373,60)))</f>
        <v>0</v>
      </c>
      <c r="R375" s="7" t="str">
        <f t="shared" si="50"/>
        <v>min</v>
      </c>
      <c r="S375" s="36">
        <f>(IF(OR(A375="DWF",A375="DNF"),Données_Planning!I373,MOD(Données_Planning!I373,60)))</f>
        <v>0</v>
      </c>
      <c r="T375" s="28" t="str">
        <f t="shared" si="51"/>
        <v>s</v>
      </c>
      <c r="U375" s="37">
        <f>(IF(OR(A375="DWF",A375="DNF"),0,QUOTIENT(Données_Planning!K373,60)))</f>
        <v>0</v>
      </c>
      <c r="V375" s="7" t="str">
        <f t="shared" si="52"/>
        <v>min</v>
      </c>
      <c r="W375" s="36">
        <f>(IF(OR(A375="DWF",A375="DNF"),Données_Planning!K373,MOD(Données_Planning!K373,60)))</f>
        <v>0</v>
      </c>
      <c r="X375" s="38" t="str">
        <f t="shared" si="53"/>
        <v>s</v>
      </c>
      <c r="Y375" s="42"/>
    </row>
    <row r="376" spans="1:25" ht="15.75" x14ac:dyDescent="0.25">
      <c r="A376" s="4">
        <f>Données_Planning!A374</f>
        <v>0</v>
      </c>
      <c r="B376" s="6">
        <f>Données_Planning!B374</f>
        <v>0</v>
      </c>
      <c r="C376" s="28">
        <f>Données_Planning!C374</f>
        <v>0</v>
      </c>
      <c r="D376" s="50">
        <f t="shared" si="45"/>
        <v>0</v>
      </c>
      <c r="E376" s="51">
        <f t="shared" si="46"/>
        <v>0</v>
      </c>
      <c r="F376" s="52">
        <f t="shared" si="47"/>
        <v>0</v>
      </c>
      <c r="G376" s="47">
        <f>Données_Planning!L374</f>
        <v>0</v>
      </c>
      <c r="H376" s="18">
        <f>Données_Planning!H374</f>
        <v>0</v>
      </c>
      <c r="I376" s="5">
        <f>Données_Planning!D374</f>
        <v>0</v>
      </c>
      <c r="J376" s="22">
        <f>Données_Planning!F374</f>
        <v>0</v>
      </c>
      <c r="K376" s="22">
        <f>Données_Planning!E374</f>
        <v>0</v>
      </c>
      <c r="L376" s="35">
        <f>Données_Planning!G374</f>
        <v>0</v>
      </c>
      <c r="M376" s="37">
        <f>(IF(OR(A376="DWF",A376="DNF"),0,QUOTIENT(Données_Planning!J374,60)))</f>
        <v>0</v>
      </c>
      <c r="N376" s="7" t="str">
        <f t="shared" si="48"/>
        <v>min</v>
      </c>
      <c r="O376" s="36">
        <f>(IF(OR(A376="DWF",A376="DNF"),Données_Planning!J374,MOD(Données_Planning!J374,60)))</f>
        <v>0</v>
      </c>
      <c r="P376" s="28" t="str">
        <f t="shared" si="49"/>
        <v>s</v>
      </c>
      <c r="Q376" s="37">
        <f>(IF(OR(A376="DWF",A376="DNF"),0,QUOTIENT(Données_Planning!I374,60)))</f>
        <v>0</v>
      </c>
      <c r="R376" s="7" t="str">
        <f t="shared" si="50"/>
        <v>min</v>
      </c>
      <c r="S376" s="36">
        <f>(IF(OR(A376="DWF",A376="DNF"),Données_Planning!I374,MOD(Données_Planning!I374,60)))</f>
        <v>0</v>
      </c>
      <c r="T376" s="28" t="str">
        <f t="shared" si="51"/>
        <v>s</v>
      </c>
      <c r="U376" s="37">
        <f>(IF(OR(A376="DWF",A376="DNF"),0,QUOTIENT(Données_Planning!K374,60)))</f>
        <v>0</v>
      </c>
      <c r="V376" s="7" t="str">
        <f t="shared" si="52"/>
        <v>min</v>
      </c>
      <c r="W376" s="36">
        <f>(IF(OR(A376="DWF",A376="DNF"),Données_Planning!K374,MOD(Données_Planning!K374,60)))</f>
        <v>0</v>
      </c>
      <c r="X376" s="38" t="str">
        <f t="shared" si="53"/>
        <v>s</v>
      </c>
      <c r="Y376" s="42"/>
    </row>
    <row r="377" spans="1:25" ht="15.75" x14ac:dyDescent="0.25">
      <c r="A377" s="4">
        <f>Données_Planning!A375</f>
        <v>0</v>
      </c>
      <c r="B377" s="6">
        <f>Données_Planning!B375</f>
        <v>0</v>
      </c>
      <c r="C377" s="28">
        <f>Données_Planning!C375</f>
        <v>0</v>
      </c>
      <c r="D377" s="50">
        <f t="shared" si="45"/>
        <v>0</v>
      </c>
      <c r="E377" s="51">
        <f t="shared" si="46"/>
        <v>0</v>
      </c>
      <c r="F377" s="52">
        <f t="shared" si="47"/>
        <v>0</v>
      </c>
      <c r="G377" s="47">
        <f>Données_Planning!L375</f>
        <v>0</v>
      </c>
      <c r="H377" s="18">
        <f>Données_Planning!H375</f>
        <v>0</v>
      </c>
      <c r="I377" s="5">
        <f>Données_Planning!D375</f>
        <v>0</v>
      </c>
      <c r="J377" s="22">
        <f>Données_Planning!F375</f>
        <v>0</v>
      </c>
      <c r="K377" s="22">
        <f>Données_Planning!E375</f>
        <v>0</v>
      </c>
      <c r="L377" s="35">
        <f>Données_Planning!G375</f>
        <v>0</v>
      </c>
      <c r="M377" s="37">
        <f>(IF(OR(A377="DWF",A377="DNF"),0,QUOTIENT(Données_Planning!J375,60)))</f>
        <v>0</v>
      </c>
      <c r="N377" s="7" t="str">
        <f t="shared" si="48"/>
        <v>min</v>
      </c>
      <c r="O377" s="36">
        <f>(IF(OR(A377="DWF",A377="DNF"),Données_Planning!J375,MOD(Données_Planning!J375,60)))</f>
        <v>0</v>
      </c>
      <c r="P377" s="28" t="str">
        <f t="shared" si="49"/>
        <v>s</v>
      </c>
      <c r="Q377" s="37">
        <f>(IF(OR(A377="DWF",A377="DNF"),0,QUOTIENT(Données_Planning!I375,60)))</f>
        <v>0</v>
      </c>
      <c r="R377" s="7" t="str">
        <f t="shared" si="50"/>
        <v>min</v>
      </c>
      <c r="S377" s="36">
        <f>(IF(OR(A377="DWF",A377="DNF"),Données_Planning!I375,MOD(Données_Planning!I375,60)))</f>
        <v>0</v>
      </c>
      <c r="T377" s="28" t="str">
        <f t="shared" si="51"/>
        <v>s</v>
      </c>
      <c r="U377" s="37">
        <f>(IF(OR(A377="DWF",A377="DNF"),0,QUOTIENT(Données_Planning!K375,60)))</f>
        <v>0</v>
      </c>
      <c r="V377" s="7" t="str">
        <f t="shared" si="52"/>
        <v>min</v>
      </c>
      <c r="W377" s="36">
        <f>(IF(OR(A377="DWF",A377="DNF"),Données_Planning!K375,MOD(Données_Planning!K375,60)))</f>
        <v>0</v>
      </c>
      <c r="X377" s="38" t="str">
        <f t="shared" si="53"/>
        <v>s</v>
      </c>
      <c r="Y377" s="42"/>
    </row>
    <row r="378" spans="1:25" ht="15.75" x14ac:dyDescent="0.25">
      <c r="A378" s="4">
        <f>Données_Planning!A376</f>
        <v>0</v>
      </c>
      <c r="B378" s="6">
        <f>Données_Planning!B376</f>
        <v>0</v>
      </c>
      <c r="C378" s="28">
        <f>Données_Planning!C376</f>
        <v>0</v>
      </c>
      <c r="D378" s="50">
        <f t="shared" si="45"/>
        <v>0</v>
      </c>
      <c r="E378" s="51">
        <f t="shared" si="46"/>
        <v>0</v>
      </c>
      <c r="F378" s="52">
        <f t="shared" si="47"/>
        <v>0</v>
      </c>
      <c r="G378" s="47">
        <f>Données_Planning!L376</f>
        <v>0</v>
      </c>
      <c r="H378" s="18">
        <f>Données_Planning!H376</f>
        <v>0</v>
      </c>
      <c r="I378" s="5">
        <f>Données_Planning!D376</f>
        <v>0</v>
      </c>
      <c r="J378" s="22">
        <f>Données_Planning!F376</f>
        <v>0</v>
      </c>
      <c r="K378" s="22">
        <f>Données_Planning!E376</f>
        <v>0</v>
      </c>
      <c r="L378" s="35">
        <f>Données_Planning!G376</f>
        <v>0</v>
      </c>
      <c r="M378" s="37">
        <f>(IF(OR(A378="DWF",A378="DNF"),0,QUOTIENT(Données_Planning!J376,60)))</f>
        <v>0</v>
      </c>
      <c r="N378" s="7" t="str">
        <f t="shared" si="48"/>
        <v>min</v>
      </c>
      <c r="O378" s="36">
        <f>(IF(OR(A378="DWF",A378="DNF"),Données_Planning!J376,MOD(Données_Planning!J376,60)))</f>
        <v>0</v>
      </c>
      <c r="P378" s="28" t="str">
        <f t="shared" si="49"/>
        <v>s</v>
      </c>
      <c r="Q378" s="37">
        <f>(IF(OR(A378="DWF",A378="DNF"),0,QUOTIENT(Données_Planning!I376,60)))</f>
        <v>0</v>
      </c>
      <c r="R378" s="7" t="str">
        <f t="shared" si="50"/>
        <v>min</v>
      </c>
      <c r="S378" s="36">
        <f>(IF(OR(A378="DWF",A378="DNF"),Données_Planning!I376,MOD(Données_Planning!I376,60)))</f>
        <v>0</v>
      </c>
      <c r="T378" s="28" t="str">
        <f t="shared" si="51"/>
        <v>s</v>
      </c>
      <c r="U378" s="37">
        <f>(IF(OR(A378="DWF",A378="DNF"),0,QUOTIENT(Données_Planning!K376,60)))</f>
        <v>0</v>
      </c>
      <c r="V378" s="7" t="str">
        <f t="shared" si="52"/>
        <v>min</v>
      </c>
      <c r="W378" s="36">
        <f>(IF(OR(A378="DWF",A378="DNF"),Données_Planning!K376,MOD(Données_Planning!K376,60)))</f>
        <v>0</v>
      </c>
      <c r="X378" s="38" t="str">
        <f t="shared" si="53"/>
        <v>s</v>
      </c>
      <c r="Y378" s="42"/>
    </row>
    <row r="379" spans="1:25" ht="15.75" x14ac:dyDescent="0.25">
      <c r="A379" s="4">
        <f>Données_Planning!A377</f>
        <v>0</v>
      </c>
      <c r="B379" s="6">
        <f>Données_Planning!B377</f>
        <v>0</v>
      </c>
      <c r="C379" s="28">
        <f>Données_Planning!C377</f>
        <v>0</v>
      </c>
      <c r="D379" s="50">
        <f t="shared" si="45"/>
        <v>0</v>
      </c>
      <c r="E379" s="51">
        <f t="shared" si="46"/>
        <v>0</v>
      </c>
      <c r="F379" s="52">
        <f t="shared" si="47"/>
        <v>0</v>
      </c>
      <c r="G379" s="47">
        <f>Données_Planning!L377</f>
        <v>0</v>
      </c>
      <c r="H379" s="18">
        <f>Données_Planning!H377</f>
        <v>0</v>
      </c>
      <c r="I379" s="5">
        <f>Données_Planning!D377</f>
        <v>0</v>
      </c>
      <c r="J379" s="22">
        <f>Données_Planning!F377</f>
        <v>0</v>
      </c>
      <c r="K379" s="22">
        <f>Données_Planning!E377</f>
        <v>0</v>
      </c>
      <c r="L379" s="35">
        <f>Données_Planning!G377</f>
        <v>0</v>
      </c>
      <c r="M379" s="37">
        <f>(IF(OR(A379="DWF",A379="DNF"),0,QUOTIENT(Données_Planning!J377,60)))</f>
        <v>0</v>
      </c>
      <c r="N379" s="7" t="str">
        <f t="shared" si="48"/>
        <v>min</v>
      </c>
      <c r="O379" s="36">
        <f>(IF(OR(A379="DWF",A379="DNF"),Données_Planning!J377,MOD(Données_Planning!J377,60)))</f>
        <v>0</v>
      </c>
      <c r="P379" s="28" t="str">
        <f t="shared" si="49"/>
        <v>s</v>
      </c>
      <c r="Q379" s="37">
        <f>(IF(OR(A379="DWF",A379="DNF"),0,QUOTIENT(Données_Planning!I377,60)))</f>
        <v>0</v>
      </c>
      <c r="R379" s="7" t="str">
        <f t="shared" si="50"/>
        <v>min</v>
      </c>
      <c r="S379" s="36">
        <f>(IF(OR(A379="DWF",A379="DNF"),Données_Planning!I377,MOD(Données_Planning!I377,60)))</f>
        <v>0</v>
      </c>
      <c r="T379" s="28" t="str">
        <f t="shared" si="51"/>
        <v>s</v>
      </c>
      <c r="U379" s="37">
        <f>(IF(OR(A379="DWF",A379="DNF"),0,QUOTIENT(Données_Planning!K377,60)))</f>
        <v>0</v>
      </c>
      <c r="V379" s="7" t="str">
        <f t="shared" si="52"/>
        <v>min</v>
      </c>
      <c r="W379" s="36">
        <f>(IF(OR(A379="DWF",A379="DNF"),Données_Planning!K377,MOD(Données_Planning!K377,60)))</f>
        <v>0</v>
      </c>
      <c r="X379" s="38" t="str">
        <f t="shared" si="53"/>
        <v>s</v>
      </c>
      <c r="Y379" s="42"/>
    </row>
    <row r="380" spans="1:25" ht="15.75" x14ac:dyDescent="0.25">
      <c r="A380" s="4">
        <f>Données_Planning!A378</f>
        <v>0</v>
      </c>
      <c r="B380" s="6">
        <f>Données_Planning!B378</f>
        <v>0</v>
      </c>
      <c r="C380" s="28">
        <f>Données_Planning!C378</f>
        <v>0</v>
      </c>
      <c r="D380" s="50">
        <f t="shared" si="45"/>
        <v>0</v>
      </c>
      <c r="E380" s="51">
        <f t="shared" si="46"/>
        <v>0</v>
      </c>
      <c r="F380" s="52">
        <f t="shared" si="47"/>
        <v>0</v>
      </c>
      <c r="G380" s="47">
        <f>Données_Planning!L378</f>
        <v>0</v>
      </c>
      <c r="H380" s="18">
        <f>Données_Planning!H378</f>
        <v>0</v>
      </c>
      <c r="I380" s="5">
        <f>Données_Planning!D378</f>
        <v>0</v>
      </c>
      <c r="J380" s="22">
        <f>Données_Planning!F378</f>
        <v>0</v>
      </c>
      <c r="K380" s="22">
        <f>Données_Planning!E378</f>
        <v>0</v>
      </c>
      <c r="L380" s="35">
        <f>Données_Planning!G378</f>
        <v>0</v>
      </c>
      <c r="M380" s="37">
        <f>(IF(OR(A380="DWF",A380="DNF"),0,QUOTIENT(Données_Planning!J378,60)))</f>
        <v>0</v>
      </c>
      <c r="N380" s="7" t="str">
        <f t="shared" si="48"/>
        <v>min</v>
      </c>
      <c r="O380" s="36">
        <f>(IF(OR(A380="DWF",A380="DNF"),Données_Planning!J378,MOD(Données_Planning!J378,60)))</f>
        <v>0</v>
      </c>
      <c r="P380" s="28" t="str">
        <f t="shared" si="49"/>
        <v>s</v>
      </c>
      <c r="Q380" s="37">
        <f>(IF(OR(A380="DWF",A380="DNF"),0,QUOTIENT(Données_Planning!I378,60)))</f>
        <v>0</v>
      </c>
      <c r="R380" s="7" t="str">
        <f t="shared" si="50"/>
        <v>min</v>
      </c>
      <c r="S380" s="36">
        <f>(IF(OR(A380="DWF",A380="DNF"),Données_Planning!I378,MOD(Données_Planning!I378,60)))</f>
        <v>0</v>
      </c>
      <c r="T380" s="28" t="str">
        <f t="shared" si="51"/>
        <v>s</v>
      </c>
      <c r="U380" s="37">
        <f>(IF(OR(A380="DWF",A380="DNF"),0,QUOTIENT(Données_Planning!K378,60)))</f>
        <v>0</v>
      </c>
      <c r="V380" s="7" t="str">
        <f t="shared" si="52"/>
        <v>min</v>
      </c>
      <c r="W380" s="36">
        <f>(IF(OR(A380="DWF",A380="DNF"),Données_Planning!K378,MOD(Données_Planning!K378,60)))</f>
        <v>0</v>
      </c>
      <c r="X380" s="38" t="str">
        <f t="shared" si="53"/>
        <v>s</v>
      </c>
      <c r="Y380" s="42"/>
    </row>
    <row r="381" spans="1:25" ht="15.75" x14ac:dyDescent="0.25">
      <c r="A381" s="4">
        <f>Données_Planning!A379</f>
        <v>0</v>
      </c>
      <c r="B381" s="6">
        <f>Données_Planning!B379</f>
        <v>0</v>
      </c>
      <c r="C381" s="28">
        <f>Données_Planning!C379</f>
        <v>0</v>
      </c>
      <c r="D381" s="50">
        <f t="shared" si="45"/>
        <v>0</v>
      </c>
      <c r="E381" s="51">
        <f t="shared" si="46"/>
        <v>0</v>
      </c>
      <c r="F381" s="52">
        <f t="shared" si="47"/>
        <v>0</v>
      </c>
      <c r="G381" s="47">
        <f>Données_Planning!L379</f>
        <v>0</v>
      </c>
      <c r="H381" s="18">
        <f>Données_Planning!H379</f>
        <v>0</v>
      </c>
      <c r="I381" s="5">
        <f>Données_Planning!D379</f>
        <v>0</v>
      </c>
      <c r="J381" s="22">
        <f>Données_Planning!F379</f>
        <v>0</v>
      </c>
      <c r="K381" s="22">
        <f>Données_Planning!E379</f>
        <v>0</v>
      </c>
      <c r="L381" s="35">
        <f>Données_Planning!G379</f>
        <v>0</v>
      </c>
      <c r="M381" s="37">
        <f>(IF(OR(A381="DWF",A381="DNF"),0,QUOTIENT(Données_Planning!J379,60)))</f>
        <v>0</v>
      </c>
      <c r="N381" s="7" t="str">
        <f t="shared" si="48"/>
        <v>min</v>
      </c>
      <c r="O381" s="36">
        <f>(IF(OR(A381="DWF",A381="DNF"),Données_Planning!J379,MOD(Données_Planning!J379,60)))</f>
        <v>0</v>
      </c>
      <c r="P381" s="28" t="str">
        <f t="shared" si="49"/>
        <v>s</v>
      </c>
      <c r="Q381" s="37">
        <f>(IF(OR(A381="DWF",A381="DNF"),0,QUOTIENT(Données_Planning!I379,60)))</f>
        <v>0</v>
      </c>
      <c r="R381" s="7" t="str">
        <f t="shared" si="50"/>
        <v>min</v>
      </c>
      <c r="S381" s="36">
        <f>(IF(OR(A381="DWF",A381="DNF"),Données_Planning!I379,MOD(Données_Planning!I379,60)))</f>
        <v>0</v>
      </c>
      <c r="T381" s="28" t="str">
        <f t="shared" si="51"/>
        <v>s</v>
      </c>
      <c r="U381" s="37">
        <f>(IF(OR(A381="DWF",A381="DNF"),0,QUOTIENT(Données_Planning!K379,60)))</f>
        <v>0</v>
      </c>
      <c r="V381" s="7" t="str">
        <f t="shared" si="52"/>
        <v>min</v>
      </c>
      <c r="W381" s="36">
        <f>(IF(OR(A381="DWF",A381="DNF"),Données_Planning!K379,MOD(Données_Planning!K379,60)))</f>
        <v>0</v>
      </c>
      <c r="X381" s="38" t="str">
        <f t="shared" si="53"/>
        <v>s</v>
      </c>
      <c r="Y381" s="42"/>
    </row>
    <row r="382" spans="1:25" ht="15.75" x14ac:dyDescent="0.25">
      <c r="A382" s="4">
        <f>Données_Planning!A380</f>
        <v>0</v>
      </c>
      <c r="B382" s="6">
        <f>Données_Planning!B380</f>
        <v>0</v>
      </c>
      <c r="C382" s="28">
        <f>Données_Planning!C380</f>
        <v>0</v>
      </c>
      <c r="D382" s="50">
        <f t="shared" si="45"/>
        <v>0</v>
      </c>
      <c r="E382" s="51">
        <f t="shared" si="46"/>
        <v>0</v>
      </c>
      <c r="F382" s="52">
        <f t="shared" si="47"/>
        <v>0</v>
      </c>
      <c r="G382" s="47">
        <f>Données_Planning!L380</f>
        <v>0</v>
      </c>
      <c r="H382" s="18">
        <f>Données_Planning!H380</f>
        <v>0</v>
      </c>
      <c r="I382" s="5">
        <f>Données_Planning!D380</f>
        <v>0</v>
      </c>
      <c r="J382" s="22">
        <f>Données_Planning!F380</f>
        <v>0</v>
      </c>
      <c r="K382" s="22">
        <f>Données_Planning!E380</f>
        <v>0</v>
      </c>
      <c r="L382" s="35">
        <f>Données_Planning!G380</f>
        <v>0</v>
      </c>
      <c r="M382" s="37">
        <f>(IF(OR(A382="DWF",A382="DNF"),0,QUOTIENT(Données_Planning!J380,60)))</f>
        <v>0</v>
      </c>
      <c r="N382" s="7" t="str">
        <f t="shared" si="48"/>
        <v>min</v>
      </c>
      <c r="O382" s="36">
        <f>(IF(OR(A382="DWF",A382="DNF"),Données_Planning!J380,MOD(Données_Planning!J380,60)))</f>
        <v>0</v>
      </c>
      <c r="P382" s="28" t="str">
        <f t="shared" si="49"/>
        <v>s</v>
      </c>
      <c r="Q382" s="37">
        <f>(IF(OR(A382="DWF",A382="DNF"),0,QUOTIENT(Données_Planning!I380,60)))</f>
        <v>0</v>
      </c>
      <c r="R382" s="7" t="str">
        <f t="shared" si="50"/>
        <v>min</v>
      </c>
      <c r="S382" s="36">
        <f>(IF(OR(A382="DWF",A382="DNF"),Données_Planning!I380,MOD(Données_Planning!I380,60)))</f>
        <v>0</v>
      </c>
      <c r="T382" s="28" t="str">
        <f t="shared" si="51"/>
        <v>s</v>
      </c>
      <c r="U382" s="37">
        <f>(IF(OR(A382="DWF",A382="DNF"),0,QUOTIENT(Données_Planning!K380,60)))</f>
        <v>0</v>
      </c>
      <c r="V382" s="7" t="str">
        <f t="shared" si="52"/>
        <v>min</v>
      </c>
      <c r="W382" s="36">
        <f>(IF(OR(A382="DWF",A382="DNF"),Données_Planning!K380,MOD(Données_Planning!K380,60)))</f>
        <v>0</v>
      </c>
      <c r="X382" s="38" t="str">
        <f t="shared" si="53"/>
        <v>s</v>
      </c>
      <c r="Y382" s="42"/>
    </row>
    <row r="383" spans="1:25" ht="15.75" x14ac:dyDescent="0.25">
      <c r="A383" s="4">
        <f>Données_Planning!A381</f>
        <v>0</v>
      </c>
      <c r="B383" s="6">
        <f>Données_Planning!B381</f>
        <v>0</v>
      </c>
      <c r="C383" s="28">
        <f>Données_Planning!C381</f>
        <v>0</v>
      </c>
      <c r="D383" s="50">
        <f t="shared" si="45"/>
        <v>0</v>
      </c>
      <c r="E383" s="51">
        <f t="shared" si="46"/>
        <v>0</v>
      </c>
      <c r="F383" s="52">
        <f t="shared" si="47"/>
        <v>0</v>
      </c>
      <c r="G383" s="47">
        <f>Données_Planning!L381</f>
        <v>0</v>
      </c>
      <c r="H383" s="18">
        <f>Données_Planning!H381</f>
        <v>0</v>
      </c>
      <c r="I383" s="5">
        <f>Données_Planning!D381</f>
        <v>0</v>
      </c>
      <c r="J383" s="22">
        <f>Données_Planning!F381</f>
        <v>0</v>
      </c>
      <c r="K383" s="22">
        <f>Données_Planning!E381</f>
        <v>0</v>
      </c>
      <c r="L383" s="35">
        <f>Données_Planning!G381</f>
        <v>0</v>
      </c>
      <c r="M383" s="37">
        <f>(IF(OR(A383="DWF",A383="DNF"),0,QUOTIENT(Données_Planning!J381,60)))</f>
        <v>0</v>
      </c>
      <c r="N383" s="7" t="str">
        <f t="shared" si="48"/>
        <v>min</v>
      </c>
      <c r="O383" s="36">
        <f>(IF(OR(A383="DWF",A383="DNF"),Données_Planning!J381,MOD(Données_Planning!J381,60)))</f>
        <v>0</v>
      </c>
      <c r="P383" s="28" t="str">
        <f t="shared" si="49"/>
        <v>s</v>
      </c>
      <c r="Q383" s="37">
        <f>(IF(OR(A383="DWF",A383="DNF"),0,QUOTIENT(Données_Planning!I381,60)))</f>
        <v>0</v>
      </c>
      <c r="R383" s="7" t="str">
        <f t="shared" si="50"/>
        <v>min</v>
      </c>
      <c r="S383" s="36">
        <f>(IF(OR(A383="DWF",A383="DNF"),Données_Planning!I381,MOD(Données_Planning!I381,60)))</f>
        <v>0</v>
      </c>
      <c r="T383" s="28" t="str">
        <f t="shared" si="51"/>
        <v>s</v>
      </c>
      <c r="U383" s="37">
        <f>(IF(OR(A383="DWF",A383="DNF"),0,QUOTIENT(Données_Planning!K381,60)))</f>
        <v>0</v>
      </c>
      <c r="V383" s="7" t="str">
        <f t="shared" si="52"/>
        <v>min</v>
      </c>
      <c r="W383" s="36">
        <f>(IF(OR(A383="DWF",A383="DNF"),Données_Planning!K381,MOD(Données_Planning!K381,60)))</f>
        <v>0</v>
      </c>
      <c r="X383" s="38" t="str">
        <f t="shared" si="53"/>
        <v>s</v>
      </c>
      <c r="Y383" s="42"/>
    </row>
    <row r="384" spans="1:25" ht="15.75" x14ac:dyDescent="0.25">
      <c r="A384" s="4">
        <f>Données_Planning!A382</f>
        <v>0</v>
      </c>
      <c r="B384" s="6">
        <f>Données_Planning!B382</f>
        <v>0</v>
      </c>
      <c r="C384" s="28">
        <f>Données_Planning!C382</f>
        <v>0</v>
      </c>
      <c r="D384" s="50">
        <f t="shared" si="45"/>
        <v>0</v>
      </c>
      <c r="E384" s="51">
        <f t="shared" si="46"/>
        <v>0</v>
      </c>
      <c r="F384" s="52">
        <f t="shared" si="47"/>
        <v>0</v>
      </c>
      <c r="G384" s="47">
        <f>Données_Planning!L382</f>
        <v>0</v>
      </c>
      <c r="H384" s="18">
        <f>Données_Planning!H382</f>
        <v>0</v>
      </c>
      <c r="I384" s="5">
        <f>Données_Planning!D382</f>
        <v>0</v>
      </c>
      <c r="J384" s="22">
        <f>Données_Planning!F382</f>
        <v>0</v>
      </c>
      <c r="K384" s="22">
        <f>Données_Planning!E382</f>
        <v>0</v>
      </c>
      <c r="L384" s="35">
        <f>Données_Planning!G382</f>
        <v>0</v>
      </c>
      <c r="M384" s="37">
        <f>(IF(OR(A384="DWF",A384="DNF"),0,QUOTIENT(Données_Planning!J382,60)))</f>
        <v>0</v>
      </c>
      <c r="N384" s="7" t="str">
        <f t="shared" si="48"/>
        <v>min</v>
      </c>
      <c r="O384" s="36">
        <f>(IF(OR(A384="DWF",A384="DNF"),Données_Planning!J382,MOD(Données_Planning!J382,60)))</f>
        <v>0</v>
      </c>
      <c r="P384" s="28" t="str">
        <f t="shared" si="49"/>
        <v>s</v>
      </c>
      <c r="Q384" s="37">
        <f>(IF(OR(A384="DWF",A384="DNF"),0,QUOTIENT(Données_Planning!I382,60)))</f>
        <v>0</v>
      </c>
      <c r="R384" s="7" t="str">
        <f t="shared" si="50"/>
        <v>min</v>
      </c>
      <c r="S384" s="36">
        <f>(IF(OR(A384="DWF",A384="DNF"),Données_Planning!I382,MOD(Données_Planning!I382,60)))</f>
        <v>0</v>
      </c>
      <c r="T384" s="28" t="str">
        <f t="shared" si="51"/>
        <v>s</v>
      </c>
      <c r="U384" s="37">
        <f>(IF(OR(A384="DWF",A384="DNF"),0,QUOTIENT(Données_Planning!K382,60)))</f>
        <v>0</v>
      </c>
      <c r="V384" s="7" t="str">
        <f t="shared" si="52"/>
        <v>min</v>
      </c>
      <c r="W384" s="36">
        <f>(IF(OR(A384="DWF",A384="DNF"),Données_Planning!K382,MOD(Données_Planning!K382,60)))</f>
        <v>0</v>
      </c>
      <c r="X384" s="38" t="str">
        <f t="shared" si="53"/>
        <v>s</v>
      </c>
      <c r="Y384" s="42"/>
    </row>
    <row r="385" spans="1:25" ht="15.75" x14ac:dyDescent="0.25">
      <c r="A385" s="4">
        <f>Données_Planning!A383</f>
        <v>0</v>
      </c>
      <c r="B385" s="6">
        <f>Données_Planning!B383</f>
        <v>0</v>
      </c>
      <c r="C385" s="28">
        <f>Données_Planning!C383</f>
        <v>0</v>
      </c>
      <c r="D385" s="50">
        <f t="shared" si="45"/>
        <v>0</v>
      </c>
      <c r="E385" s="51">
        <f t="shared" si="46"/>
        <v>0</v>
      </c>
      <c r="F385" s="52">
        <f t="shared" si="47"/>
        <v>0</v>
      </c>
      <c r="G385" s="47">
        <f>Données_Planning!L383</f>
        <v>0</v>
      </c>
      <c r="H385" s="18">
        <f>Données_Planning!H383</f>
        <v>0</v>
      </c>
      <c r="I385" s="5">
        <f>Données_Planning!D383</f>
        <v>0</v>
      </c>
      <c r="J385" s="22">
        <f>Données_Planning!F383</f>
        <v>0</v>
      </c>
      <c r="K385" s="22">
        <f>Données_Planning!E383</f>
        <v>0</v>
      </c>
      <c r="L385" s="35">
        <f>Données_Planning!G383</f>
        <v>0</v>
      </c>
      <c r="M385" s="37">
        <f>(IF(OR(A385="DWF",A385="DNF"),0,QUOTIENT(Données_Planning!J383,60)))</f>
        <v>0</v>
      </c>
      <c r="N385" s="7" t="str">
        <f t="shared" si="48"/>
        <v>min</v>
      </c>
      <c r="O385" s="36">
        <f>(IF(OR(A385="DWF",A385="DNF"),Données_Planning!J383,MOD(Données_Planning!J383,60)))</f>
        <v>0</v>
      </c>
      <c r="P385" s="28" t="str">
        <f t="shared" si="49"/>
        <v>s</v>
      </c>
      <c r="Q385" s="37">
        <f>(IF(OR(A385="DWF",A385="DNF"),0,QUOTIENT(Données_Planning!I383,60)))</f>
        <v>0</v>
      </c>
      <c r="R385" s="7" t="str">
        <f t="shared" si="50"/>
        <v>min</v>
      </c>
      <c r="S385" s="36">
        <f>(IF(OR(A385="DWF",A385="DNF"),Données_Planning!I383,MOD(Données_Planning!I383,60)))</f>
        <v>0</v>
      </c>
      <c r="T385" s="28" t="str">
        <f t="shared" si="51"/>
        <v>s</v>
      </c>
      <c r="U385" s="37">
        <f>(IF(OR(A385="DWF",A385="DNF"),0,QUOTIENT(Données_Planning!K383,60)))</f>
        <v>0</v>
      </c>
      <c r="V385" s="7" t="str">
        <f t="shared" si="52"/>
        <v>min</v>
      </c>
      <c r="W385" s="36">
        <f>(IF(OR(A385="DWF",A385="DNF"),Données_Planning!K383,MOD(Données_Planning!K383,60)))</f>
        <v>0</v>
      </c>
      <c r="X385" s="38" t="str">
        <f t="shared" si="53"/>
        <v>s</v>
      </c>
      <c r="Y385" s="42"/>
    </row>
    <row r="386" spans="1:25" ht="15.75" x14ac:dyDescent="0.25">
      <c r="A386" s="4">
        <f>Données_Planning!A384</f>
        <v>0</v>
      </c>
      <c r="B386" s="6">
        <f>Données_Planning!B384</f>
        <v>0</v>
      </c>
      <c r="C386" s="28">
        <f>Données_Planning!C384</f>
        <v>0</v>
      </c>
      <c r="D386" s="50">
        <f t="shared" si="45"/>
        <v>0</v>
      </c>
      <c r="E386" s="51">
        <f t="shared" si="46"/>
        <v>0</v>
      </c>
      <c r="F386" s="52">
        <f t="shared" si="47"/>
        <v>0</v>
      </c>
      <c r="G386" s="47">
        <f>Données_Planning!L384</f>
        <v>0</v>
      </c>
      <c r="H386" s="18">
        <f>Données_Planning!H384</f>
        <v>0</v>
      </c>
      <c r="I386" s="5">
        <f>Données_Planning!D384</f>
        <v>0</v>
      </c>
      <c r="J386" s="22">
        <f>Données_Planning!F384</f>
        <v>0</v>
      </c>
      <c r="K386" s="22">
        <f>Données_Planning!E384</f>
        <v>0</v>
      </c>
      <c r="L386" s="35">
        <f>Données_Planning!G384</f>
        <v>0</v>
      </c>
      <c r="M386" s="37">
        <f>(IF(OR(A386="DWF",A386="DNF"),0,QUOTIENT(Données_Planning!J384,60)))</f>
        <v>0</v>
      </c>
      <c r="N386" s="7" t="str">
        <f t="shared" si="48"/>
        <v>min</v>
      </c>
      <c r="O386" s="36">
        <f>(IF(OR(A386="DWF",A386="DNF"),Données_Planning!J384,MOD(Données_Planning!J384,60)))</f>
        <v>0</v>
      </c>
      <c r="P386" s="28" t="str">
        <f t="shared" si="49"/>
        <v>s</v>
      </c>
      <c r="Q386" s="37">
        <f>(IF(OR(A386="DWF",A386="DNF"),0,QUOTIENT(Données_Planning!I384,60)))</f>
        <v>0</v>
      </c>
      <c r="R386" s="7" t="str">
        <f t="shared" si="50"/>
        <v>min</v>
      </c>
      <c r="S386" s="36">
        <f>(IF(OR(A386="DWF",A386="DNF"),Données_Planning!I384,MOD(Données_Planning!I384,60)))</f>
        <v>0</v>
      </c>
      <c r="T386" s="28" t="str">
        <f t="shared" si="51"/>
        <v>s</v>
      </c>
      <c r="U386" s="37">
        <f>(IF(OR(A386="DWF",A386="DNF"),0,QUOTIENT(Données_Planning!K384,60)))</f>
        <v>0</v>
      </c>
      <c r="V386" s="7" t="str">
        <f t="shared" si="52"/>
        <v>min</v>
      </c>
      <c r="W386" s="36">
        <f>(IF(OR(A386="DWF",A386="DNF"),Données_Planning!K384,MOD(Données_Planning!K384,60)))</f>
        <v>0</v>
      </c>
      <c r="X386" s="38" t="str">
        <f t="shared" si="53"/>
        <v>s</v>
      </c>
      <c r="Y386" s="42"/>
    </row>
    <row r="387" spans="1:25" ht="15.75" x14ac:dyDescent="0.25">
      <c r="A387" s="4">
        <f>Données_Planning!A385</f>
        <v>0</v>
      </c>
      <c r="B387" s="6">
        <f>Données_Planning!B385</f>
        <v>0</v>
      </c>
      <c r="C387" s="28">
        <f>Données_Planning!C385</f>
        <v>0</v>
      </c>
      <c r="D387" s="50">
        <f t="shared" si="45"/>
        <v>0</v>
      </c>
      <c r="E387" s="51">
        <f t="shared" si="46"/>
        <v>0</v>
      </c>
      <c r="F387" s="52">
        <f t="shared" si="47"/>
        <v>0</v>
      </c>
      <c r="G387" s="47">
        <f>Données_Planning!L385</f>
        <v>0</v>
      </c>
      <c r="H387" s="18">
        <f>Données_Planning!H385</f>
        <v>0</v>
      </c>
      <c r="I387" s="5">
        <f>Données_Planning!D385</f>
        <v>0</v>
      </c>
      <c r="J387" s="22">
        <f>Données_Planning!F385</f>
        <v>0</v>
      </c>
      <c r="K387" s="22">
        <f>Données_Planning!E385</f>
        <v>0</v>
      </c>
      <c r="L387" s="35">
        <f>Données_Planning!G385</f>
        <v>0</v>
      </c>
      <c r="M387" s="37">
        <f>(IF(OR(A387="DWF",A387="DNF"),0,QUOTIENT(Données_Planning!J385,60)))</f>
        <v>0</v>
      </c>
      <c r="N387" s="7" t="str">
        <f t="shared" si="48"/>
        <v>min</v>
      </c>
      <c r="O387" s="36">
        <f>(IF(OR(A387="DWF",A387="DNF"),Données_Planning!J385,MOD(Données_Planning!J385,60)))</f>
        <v>0</v>
      </c>
      <c r="P387" s="28" t="str">
        <f t="shared" si="49"/>
        <v>s</v>
      </c>
      <c r="Q387" s="37">
        <f>(IF(OR(A387="DWF",A387="DNF"),0,QUOTIENT(Données_Planning!I385,60)))</f>
        <v>0</v>
      </c>
      <c r="R387" s="7" t="str">
        <f t="shared" si="50"/>
        <v>min</v>
      </c>
      <c r="S387" s="36">
        <f>(IF(OR(A387="DWF",A387="DNF"),Données_Planning!I385,MOD(Données_Planning!I385,60)))</f>
        <v>0</v>
      </c>
      <c r="T387" s="28" t="str">
        <f t="shared" si="51"/>
        <v>s</v>
      </c>
      <c r="U387" s="37">
        <f>(IF(OR(A387="DWF",A387="DNF"),0,QUOTIENT(Données_Planning!K385,60)))</f>
        <v>0</v>
      </c>
      <c r="V387" s="7" t="str">
        <f t="shared" si="52"/>
        <v>min</v>
      </c>
      <c r="W387" s="36">
        <f>(IF(OR(A387="DWF",A387="DNF"),Données_Planning!K385,MOD(Données_Planning!K385,60)))</f>
        <v>0</v>
      </c>
      <c r="X387" s="38" t="str">
        <f t="shared" si="53"/>
        <v>s</v>
      </c>
      <c r="Y387" s="42"/>
    </row>
    <row r="388" spans="1:25" ht="15.75" x14ac:dyDescent="0.25">
      <c r="A388" s="4">
        <f>Données_Planning!A386</f>
        <v>0</v>
      </c>
      <c r="B388" s="6">
        <f>Données_Planning!B386</f>
        <v>0</v>
      </c>
      <c r="C388" s="28">
        <f>Données_Planning!C386</f>
        <v>0</v>
      </c>
      <c r="D388" s="50">
        <f t="shared" si="45"/>
        <v>0</v>
      </c>
      <c r="E388" s="51">
        <f t="shared" si="46"/>
        <v>0</v>
      </c>
      <c r="F388" s="52">
        <f t="shared" si="47"/>
        <v>0</v>
      </c>
      <c r="G388" s="47">
        <f>Données_Planning!L386</f>
        <v>0</v>
      </c>
      <c r="H388" s="18">
        <f>Données_Planning!H386</f>
        <v>0</v>
      </c>
      <c r="I388" s="5">
        <f>Données_Planning!D386</f>
        <v>0</v>
      </c>
      <c r="J388" s="22">
        <f>Données_Planning!F386</f>
        <v>0</v>
      </c>
      <c r="K388" s="22">
        <f>Données_Planning!E386</f>
        <v>0</v>
      </c>
      <c r="L388" s="35">
        <f>Données_Planning!G386</f>
        <v>0</v>
      </c>
      <c r="M388" s="37">
        <f>(IF(OR(A388="DWF",A388="DNF"),0,QUOTIENT(Données_Planning!J386,60)))</f>
        <v>0</v>
      </c>
      <c r="N388" s="7" t="str">
        <f t="shared" si="48"/>
        <v>min</v>
      </c>
      <c r="O388" s="36">
        <f>(IF(OR(A388="DWF",A388="DNF"),Données_Planning!J386,MOD(Données_Planning!J386,60)))</f>
        <v>0</v>
      </c>
      <c r="P388" s="28" t="str">
        <f t="shared" si="49"/>
        <v>s</v>
      </c>
      <c r="Q388" s="37">
        <f>(IF(OR(A388="DWF",A388="DNF"),0,QUOTIENT(Données_Planning!I386,60)))</f>
        <v>0</v>
      </c>
      <c r="R388" s="7" t="str">
        <f t="shared" si="50"/>
        <v>min</v>
      </c>
      <c r="S388" s="36">
        <f>(IF(OR(A388="DWF",A388="DNF"),Données_Planning!I386,MOD(Données_Planning!I386,60)))</f>
        <v>0</v>
      </c>
      <c r="T388" s="28" t="str">
        <f t="shared" si="51"/>
        <v>s</v>
      </c>
      <c r="U388" s="37">
        <f>(IF(OR(A388="DWF",A388="DNF"),0,QUOTIENT(Données_Planning!K386,60)))</f>
        <v>0</v>
      </c>
      <c r="V388" s="7" t="str">
        <f t="shared" si="52"/>
        <v>min</v>
      </c>
      <c r="W388" s="36">
        <f>(IF(OR(A388="DWF",A388="DNF"),Données_Planning!K386,MOD(Données_Planning!K386,60)))</f>
        <v>0</v>
      </c>
      <c r="X388" s="38" t="str">
        <f t="shared" si="53"/>
        <v>s</v>
      </c>
      <c r="Y388" s="42"/>
    </row>
    <row r="389" spans="1:25" ht="15.75" x14ac:dyDescent="0.25">
      <c r="A389" s="4">
        <f>Données_Planning!A387</f>
        <v>0</v>
      </c>
      <c r="B389" s="6">
        <f>Données_Planning!B387</f>
        <v>0</v>
      </c>
      <c r="C389" s="28">
        <f>Données_Planning!C387</f>
        <v>0</v>
      </c>
      <c r="D389" s="50">
        <f t="shared" ref="D389:D452" si="54">IF(G389 -TIME(0,$D$3,0)&gt;0, G389 -TIME(0,$D$3,0), 0)</f>
        <v>0</v>
      </c>
      <c r="E389" s="51">
        <f t="shared" ref="E389:E452" si="55">IF(G389 -TIME(0,$E$3,0)&gt;0, G389 -TIME(0,$E$3,0), 0)</f>
        <v>0</v>
      </c>
      <c r="F389" s="52">
        <f t="shared" ref="F389:F452" si="56">IF(G389 -TIME(0,$F$3,0)&gt;0, G389 -TIME(0,$F$3,0), 0)</f>
        <v>0</v>
      </c>
      <c r="G389" s="47">
        <f>Données_Planning!L387</f>
        <v>0</v>
      </c>
      <c r="H389" s="18">
        <f>Données_Planning!H387</f>
        <v>0</v>
      </c>
      <c r="I389" s="5">
        <f>Données_Planning!D387</f>
        <v>0</v>
      </c>
      <c r="J389" s="22">
        <f>Données_Planning!F387</f>
        <v>0</v>
      </c>
      <c r="K389" s="22">
        <f>Données_Planning!E387</f>
        <v>0</v>
      </c>
      <c r="L389" s="35">
        <f>Données_Planning!G387</f>
        <v>0</v>
      </c>
      <c r="M389" s="37">
        <f>(IF(OR(A389="DWF",A389="DNF"),0,QUOTIENT(Données_Planning!J387,60)))</f>
        <v>0</v>
      </c>
      <c r="N389" s="7" t="str">
        <f t="shared" ref="N389:N452" si="57">(IF(OR(A389="DWF",A389="DNF"),0,"min"))</f>
        <v>min</v>
      </c>
      <c r="O389" s="36">
        <f>(IF(OR(A389="DWF",A389="DNF"),Données_Planning!J387,MOD(Données_Planning!J387,60)))</f>
        <v>0</v>
      </c>
      <c r="P389" s="28" t="str">
        <f t="shared" ref="P389:P452" si="58">(IF(OR(A389="DWF",A389="DNF"),"m","s"))</f>
        <v>s</v>
      </c>
      <c r="Q389" s="37">
        <f>(IF(OR(A389="DWF",A389="DNF"),0,QUOTIENT(Données_Planning!I387,60)))</f>
        <v>0</v>
      </c>
      <c r="R389" s="7" t="str">
        <f t="shared" ref="R389:R452" si="59">(IF(OR(A389="DWF",A389="DNF"),0,"min"))</f>
        <v>min</v>
      </c>
      <c r="S389" s="36">
        <f>(IF(OR(A389="DWF",A389="DNF"),Données_Planning!I387,MOD(Données_Planning!I387,60)))</f>
        <v>0</v>
      </c>
      <c r="T389" s="28" t="str">
        <f t="shared" ref="T389:T452" si="60">(IF(OR(A389="DWF",A389="DNF"),"m","s"))</f>
        <v>s</v>
      </c>
      <c r="U389" s="37">
        <f>(IF(OR(A389="DWF",A389="DNF"),0,QUOTIENT(Données_Planning!K387,60)))</f>
        <v>0</v>
      </c>
      <c r="V389" s="7" t="str">
        <f t="shared" ref="V389:V452" si="61">(IF(OR(A389="DWF",A389="DNF"),0,"min"))</f>
        <v>min</v>
      </c>
      <c r="W389" s="36">
        <f>(IF(OR(A389="DWF",A389="DNF"),Données_Planning!K387,MOD(Données_Planning!K387,60)))</f>
        <v>0</v>
      </c>
      <c r="X389" s="38" t="str">
        <f t="shared" ref="X389:X452" si="62">(IF(OR(A389="DWF",A389="DNF"),"m","s"))</f>
        <v>s</v>
      </c>
      <c r="Y389" s="42"/>
    </row>
    <row r="390" spans="1:25" ht="15.75" x14ac:dyDescent="0.25">
      <c r="A390" s="4">
        <f>Données_Planning!A388</f>
        <v>0</v>
      </c>
      <c r="B390" s="6">
        <f>Données_Planning!B388</f>
        <v>0</v>
      </c>
      <c r="C390" s="28">
        <f>Données_Planning!C388</f>
        <v>0</v>
      </c>
      <c r="D390" s="50">
        <f t="shared" si="54"/>
        <v>0</v>
      </c>
      <c r="E390" s="51">
        <f t="shared" si="55"/>
        <v>0</v>
      </c>
      <c r="F390" s="52">
        <f t="shared" si="56"/>
        <v>0</v>
      </c>
      <c r="G390" s="47">
        <f>Données_Planning!L388</f>
        <v>0</v>
      </c>
      <c r="H390" s="18">
        <f>Données_Planning!H388</f>
        <v>0</v>
      </c>
      <c r="I390" s="5">
        <f>Données_Planning!D388</f>
        <v>0</v>
      </c>
      <c r="J390" s="22">
        <f>Données_Planning!F388</f>
        <v>0</v>
      </c>
      <c r="K390" s="22">
        <f>Données_Planning!E388</f>
        <v>0</v>
      </c>
      <c r="L390" s="35">
        <f>Données_Planning!G388</f>
        <v>0</v>
      </c>
      <c r="M390" s="37">
        <f>(IF(OR(A390="DWF",A390="DNF"),0,QUOTIENT(Données_Planning!J388,60)))</f>
        <v>0</v>
      </c>
      <c r="N390" s="7" t="str">
        <f t="shared" si="57"/>
        <v>min</v>
      </c>
      <c r="O390" s="36">
        <f>(IF(OR(A390="DWF",A390="DNF"),Données_Planning!J388,MOD(Données_Planning!J388,60)))</f>
        <v>0</v>
      </c>
      <c r="P390" s="28" t="str">
        <f t="shared" si="58"/>
        <v>s</v>
      </c>
      <c r="Q390" s="37">
        <f>(IF(OR(A390="DWF",A390="DNF"),0,QUOTIENT(Données_Planning!I388,60)))</f>
        <v>0</v>
      </c>
      <c r="R390" s="7" t="str">
        <f t="shared" si="59"/>
        <v>min</v>
      </c>
      <c r="S390" s="36">
        <f>(IF(OR(A390="DWF",A390="DNF"),Données_Planning!I388,MOD(Données_Planning!I388,60)))</f>
        <v>0</v>
      </c>
      <c r="T390" s="28" t="str">
        <f t="shared" si="60"/>
        <v>s</v>
      </c>
      <c r="U390" s="37">
        <f>(IF(OR(A390="DWF",A390="DNF"),0,QUOTIENT(Données_Planning!K388,60)))</f>
        <v>0</v>
      </c>
      <c r="V390" s="7" t="str">
        <f t="shared" si="61"/>
        <v>min</v>
      </c>
      <c r="W390" s="36">
        <f>(IF(OR(A390="DWF",A390="DNF"),Données_Planning!K388,MOD(Données_Planning!K388,60)))</f>
        <v>0</v>
      </c>
      <c r="X390" s="38" t="str">
        <f t="shared" si="62"/>
        <v>s</v>
      </c>
      <c r="Y390" s="42"/>
    </row>
    <row r="391" spans="1:25" ht="15.75" x14ac:dyDescent="0.25">
      <c r="A391" s="4">
        <f>Données_Planning!A389</f>
        <v>0</v>
      </c>
      <c r="B391" s="6">
        <f>Données_Planning!B389</f>
        <v>0</v>
      </c>
      <c r="C391" s="28">
        <f>Données_Planning!C389</f>
        <v>0</v>
      </c>
      <c r="D391" s="50">
        <f t="shared" si="54"/>
        <v>0</v>
      </c>
      <c r="E391" s="51">
        <f t="shared" si="55"/>
        <v>0</v>
      </c>
      <c r="F391" s="52">
        <f t="shared" si="56"/>
        <v>0</v>
      </c>
      <c r="G391" s="47">
        <f>Données_Planning!L389</f>
        <v>0</v>
      </c>
      <c r="H391" s="18">
        <f>Données_Planning!H389</f>
        <v>0</v>
      </c>
      <c r="I391" s="5">
        <f>Données_Planning!D389</f>
        <v>0</v>
      </c>
      <c r="J391" s="22">
        <f>Données_Planning!F389</f>
        <v>0</v>
      </c>
      <c r="K391" s="22">
        <f>Données_Planning!E389</f>
        <v>0</v>
      </c>
      <c r="L391" s="35">
        <f>Données_Planning!G389</f>
        <v>0</v>
      </c>
      <c r="M391" s="37">
        <f>(IF(OR(A391="DWF",A391="DNF"),0,QUOTIENT(Données_Planning!J389,60)))</f>
        <v>0</v>
      </c>
      <c r="N391" s="7" t="str">
        <f t="shared" si="57"/>
        <v>min</v>
      </c>
      <c r="O391" s="36">
        <f>(IF(OR(A391="DWF",A391="DNF"),Données_Planning!J389,MOD(Données_Planning!J389,60)))</f>
        <v>0</v>
      </c>
      <c r="P391" s="28" t="str">
        <f t="shared" si="58"/>
        <v>s</v>
      </c>
      <c r="Q391" s="37">
        <f>(IF(OR(A391="DWF",A391="DNF"),0,QUOTIENT(Données_Planning!I389,60)))</f>
        <v>0</v>
      </c>
      <c r="R391" s="7" t="str">
        <f t="shared" si="59"/>
        <v>min</v>
      </c>
      <c r="S391" s="36">
        <f>(IF(OR(A391="DWF",A391="DNF"),Données_Planning!I389,MOD(Données_Planning!I389,60)))</f>
        <v>0</v>
      </c>
      <c r="T391" s="28" t="str">
        <f t="shared" si="60"/>
        <v>s</v>
      </c>
      <c r="U391" s="37">
        <f>(IF(OR(A391="DWF",A391="DNF"),0,QUOTIENT(Données_Planning!K389,60)))</f>
        <v>0</v>
      </c>
      <c r="V391" s="7" t="str">
        <f t="shared" si="61"/>
        <v>min</v>
      </c>
      <c r="W391" s="36">
        <f>(IF(OR(A391="DWF",A391="DNF"),Données_Planning!K389,MOD(Données_Planning!K389,60)))</f>
        <v>0</v>
      </c>
      <c r="X391" s="38" t="str">
        <f t="shared" si="62"/>
        <v>s</v>
      </c>
      <c r="Y391" s="42"/>
    </row>
    <row r="392" spans="1:25" ht="15.75" x14ac:dyDescent="0.25">
      <c r="A392" s="4">
        <f>Données_Planning!A390</f>
        <v>0</v>
      </c>
      <c r="B392" s="6">
        <f>Données_Planning!B390</f>
        <v>0</v>
      </c>
      <c r="C392" s="28">
        <f>Données_Planning!C390</f>
        <v>0</v>
      </c>
      <c r="D392" s="50">
        <f t="shared" si="54"/>
        <v>0</v>
      </c>
      <c r="E392" s="51">
        <f t="shared" si="55"/>
        <v>0</v>
      </c>
      <c r="F392" s="52">
        <f t="shared" si="56"/>
        <v>0</v>
      </c>
      <c r="G392" s="47">
        <f>Données_Planning!L390</f>
        <v>0</v>
      </c>
      <c r="H392" s="18">
        <f>Données_Planning!H390</f>
        <v>0</v>
      </c>
      <c r="I392" s="5">
        <f>Données_Planning!D390</f>
        <v>0</v>
      </c>
      <c r="J392" s="22">
        <f>Données_Planning!F390</f>
        <v>0</v>
      </c>
      <c r="K392" s="22">
        <f>Données_Planning!E390</f>
        <v>0</v>
      </c>
      <c r="L392" s="35">
        <f>Données_Planning!G390</f>
        <v>0</v>
      </c>
      <c r="M392" s="37">
        <f>(IF(OR(A392="DWF",A392="DNF"),0,QUOTIENT(Données_Planning!J390,60)))</f>
        <v>0</v>
      </c>
      <c r="N392" s="7" t="str">
        <f t="shared" si="57"/>
        <v>min</v>
      </c>
      <c r="O392" s="36">
        <f>(IF(OR(A392="DWF",A392="DNF"),Données_Planning!J390,MOD(Données_Planning!J390,60)))</f>
        <v>0</v>
      </c>
      <c r="P392" s="28" t="str">
        <f t="shared" si="58"/>
        <v>s</v>
      </c>
      <c r="Q392" s="37">
        <f>(IF(OR(A392="DWF",A392="DNF"),0,QUOTIENT(Données_Planning!I390,60)))</f>
        <v>0</v>
      </c>
      <c r="R392" s="7" t="str">
        <f t="shared" si="59"/>
        <v>min</v>
      </c>
      <c r="S392" s="36">
        <f>(IF(OR(A392="DWF",A392="DNF"),Données_Planning!I390,MOD(Données_Planning!I390,60)))</f>
        <v>0</v>
      </c>
      <c r="T392" s="28" t="str">
        <f t="shared" si="60"/>
        <v>s</v>
      </c>
      <c r="U392" s="37">
        <f>(IF(OR(A392="DWF",A392="DNF"),0,QUOTIENT(Données_Planning!K390,60)))</f>
        <v>0</v>
      </c>
      <c r="V392" s="7" t="str">
        <f t="shared" si="61"/>
        <v>min</v>
      </c>
      <c r="W392" s="36">
        <f>(IF(OR(A392="DWF",A392="DNF"),Données_Planning!K390,MOD(Données_Planning!K390,60)))</f>
        <v>0</v>
      </c>
      <c r="X392" s="38" t="str">
        <f t="shared" si="62"/>
        <v>s</v>
      </c>
      <c r="Y392" s="42"/>
    </row>
    <row r="393" spans="1:25" ht="15.75" x14ac:dyDescent="0.25">
      <c r="A393" s="4">
        <f>Données_Planning!A391</f>
        <v>0</v>
      </c>
      <c r="B393" s="6">
        <f>Données_Planning!B391</f>
        <v>0</v>
      </c>
      <c r="C393" s="28">
        <f>Données_Planning!C391</f>
        <v>0</v>
      </c>
      <c r="D393" s="50">
        <f t="shared" si="54"/>
        <v>0</v>
      </c>
      <c r="E393" s="51">
        <f t="shared" si="55"/>
        <v>0</v>
      </c>
      <c r="F393" s="52">
        <f t="shared" si="56"/>
        <v>0</v>
      </c>
      <c r="G393" s="47">
        <f>Données_Planning!L391</f>
        <v>0</v>
      </c>
      <c r="H393" s="18">
        <f>Données_Planning!H391</f>
        <v>0</v>
      </c>
      <c r="I393" s="5">
        <f>Données_Planning!D391</f>
        <v>0</v>
      </c>
      <c r="J393" s="22">
        <f>Données_Planning!F391</f>
        <v>0</v>
      </c>
      <c r="K393" s="22">
        <f>Données_Planning!E391</f>
        <v>0</v>
      </c>
      <c r="L393" s="35">
        <f>Données_Planning!G391</f>
        <v>0</v>
      </c>
      <c r="M393" s="37">
        <f>(IF(OR(A393="DWF",A393="DNF"),0,QUOTIENT(Données_Planning!J391,60)))</f>
        <v>0</v>
      </c>
      <c r="N393" s="7" t="str">
        <f t="shared" si="57"/>
        <v>min</v>
      </c>
      <c r="O393" s="36">
        <f>(IF(OR(A393="DWF",A393="DNF"),Données_Planning!J391,MOD(Données_Planning!J391,60)))</f>
        <v>0</v>
      </c>
      <c r="P393" s="28" t="str">
        <f t="shared" si="58"/>
        <v>s</v>
      </c>
      <c r="Q393" s="37">
        <f>(IF(OR(A393="DWF",A393="DNF"),0,QUOTIENT(Données_Planning!I391,60)))</f>
        <v>0</v>
      </c>
      <c r="R393" s="7" t="str">
        <f t="shared" si="59"/>
        <v>min</v>
      </c>
      <c r="S393" s="36">
        <f>(IF(OR(A393="DWF",A393="DNF"),Données_Planning!I391,MOD(Données_Planning!I391,60)))</f>
        <v>0</v>
      </c>
      <c r="T393" s="28" t="str">
        <f t="shared" si="60"/>
        <v>s</v>
      </c>
      <c r="U393" s="37">
        <f>(IF(OR(A393="DWF",A393="DNF"),0,QUOTIENT(Données_Planning!K391,60)))</f>
        <v>0</v>
      </c>
      <c r="V393" s="7" t="str">
        <f t="shared" si="61"/>
        <v>min</v>
      </c>
      <c r="W393" s="36">
        <f>(IF(OR(A393="DWF",A393="DNF"),Données_Planning!K391,MOD(Données_Planning!K391,60)))</f>
        <v>0</v>
      </c>
      <c r="X393" s="38" t="str">
        <f t="shared" si="62"/>
        <v>s</v>
      </c>
      <c r="Y393" s="42"/>
    </row>
    <row r="394" spans="1:25" ht="15.75" x14ac:dyDescent="0.25">
      <c r="A394" s="4">
        <f>Données_Planning!A392</f>
        <v>0</v>
      </c>
      <c r="B394" s="6">
        <f>Données_Planning!B392</f>
        <v>0</v>
      </c>
      <c r="C394" s="28">
        <f>Données_Planning!C392</f>
        <v>0</v>
      </c>
      <c r="D394" s="50">
        <f t="shared" si="54"/>
        <v>0</v>
      </c>
      <c r="E394" s="51">
        <f t="shared" si="55"/>
        <v>0</v>
      </c>
      <c r="F394" s="52">
        <f t="shared" si="56"/>
        <v>0</v>
      </c>
      <c r="G394" s="47">
        <f>Données_Planning!L392</f>
        <v>0</v>
      </c>
      <c r="H394" s="18">
        <f>Données_Planning!H392</f>
        <v>0</v>
      </c>
      <c r="I394" s="5">
        <f>Données_Planning!D392</f>
        <v>0</v>
      </c>
      <c r="J394" s="22">
        <f>Données_Planning!F392</f>
        <v>0</v>
      </c>
      <c r="K394" s="22">
        <f>Données_Planning!E392</f>
        <v>0</v>
      </c>
      <c r="L394" s="35">
        <f>Données_Planning!G392</f>
        <v>0</v>
      </c>
      <c r="M394" s="37">
        <f>(IF(OR(A394="DWF",A394="DNF"),0,QUOTIENT(Données_Planning!J392,60)))</f>
        <v>0</v>
      </c>
      <c r="N394" s="7" t="str">
        <f t="shared" si="57"/>
        <v>min</v>
      </c>
      <c r="O394" s="36">
        <f>(IF(OR(A394="DWF",A394="DNF"),Données_Planning!J392,MOD(Données_Planning!J392,60)))</f>
        <v>0</v>
      </c>
      <c r="P394" s="28" t="str">
        <f t="shared" si="58"/>
        <v>s</v>
      </c>
      <c r="Q394" s="37">
        <f>(IF(OR(A394="DWF",A394="DNF"),0,QUOTIENT(Données_Planning!I392,60)))</f>
        <v>0</v>
      </c>
      <c r="R394" s="7" t="str">
        <f t="shared" si="59"/>
        <v>min</v>
      </c>
      <c r="S394" s="36">
        <f>(IF(OR(A394="DWF",A394="DNF"),Données_Planning!I392,MOD(Données_Planning!I392,60)))</f>
        <v>0</v>
      </c>
      <c r="T394" s="28" t="str">
        <f t="shared" si="60"/>
        <v>s</v>
      </c>
      <c r="U394" s="37">
        <f>(IF(OR(A394="DWF",A394="DNF"),0,QUOTIENT(Données_Planning!K392,60)))</f>
        <v>0</v>
      </c>
      <c r="V394" s="7" t="str">
        <f t="shared" si="61"/>
        <v>min</v>
      </c>
      <c r="W394" s="36">
        <f>(IF(OR(A394="DWF",A394="DNF"),Données_Planning!K392,MOD(Données_Planning!K392,60)))</f>
        <v>0</v>
      </c>
      <c r="X394" s="38" t="str">
        <f t="shared" si="62"/>
        <v>s</v>
      </c>
      <c r="Y394" s="42"/>
    </row>
    <row r="395" spans="1:25" ht="15.75" x14ac:dyDescent="0.25">
      <c r="A395" s="4">
        <f>Données_Planning!A393</f>
        <v>0</v>
      </c>
      <c r="B395" s="6">
        <f>Données_Planning!B393</f>
        <v>0</v>
      </c>
      <c r="C395" s="28">
        <f>Données_Planning!C393</f>
        <v>0</v>
      </c>
      <c r="D395" s="50">
        <f t="shared" si="54"/>
        <v>0</v>
      </c>
      <c r="E395" s="51">
        <f t="shared" si="55"/>
        <v>0</v>
      </c>
      <c r="F395" s="52">
        <f t="shared" si="56"/>
        <v>0</v>
      </c>
      <c r="G395" s="47">
        <f>Données_Planning!L393</f>
        <v>0</v>
      </c>
      <c r="H395" s="18">
        <f>Données_Planning!H393</f>
        <v>0</v>
      </c>
      <c r="I395" s="5">
        <f>Données_Planning!D393</f>
        <v>0</v>
      </c>
      <c r="J395" s="22">
        <f>Données_Planning!F393</f>
        <v>0</v>
      </c>
      <c r="K395" s="22">
        <f>Données_Planning!E393</f>
        <v>0</v>
      </c>
      <c r="L395" s="35">
        <f>Données_Planning!G393</f>
        <v>0</v>
      </c>
      <c r="M395" s="37">
        <f>(IF(OR(A395="DWF",A395="DNF"),0,QUOTIENT(Données_Planning!J393,60)))</f>
        <v>0</v>
      </c>
      <c r="N395" s="7" t="str">
        <f t="shared" si="57"/>
        <v>min</v>
      </c>
      <c r="O395" s="36">
        <f>(IF(OR(A395="DWF",A395="DNF"),Données_Planning!J393,MOD(Données_Planning!J393,60)))</f>
        <v>0</v>
      </c>
      <c r="P395" s="28" t="str">
        <f t="shared" si="58"/>
        <v>s</v>
      </c>
      <c r="Q395" s="37">
        <f>(IF(OR(A395="DWF",A395="DNF"),0,QUOTIENT(Données_Planning!I393,60)))</f>
        <v>0</v>
      </c>
      <c r="R395" s="7" t="str">
        <f t="shared" si="59"/>
        <v>min</v>
      </c>
      <c r="S395" s="36">
        <f>(IF(OR(A395="DWF",A395="DNF"),Données_Planning!I393,MOD(Données_Planning!I393,60)))</f>
        <v>0</v>
      </c>
      <c r="T395" s="28" t="str">
        <f t="shared" si="60"/>
        <v>s</v>
      </c>
      <c r="U395" s="37">
        <f>(IF(OR(A395="DWF",A395="DNF"),0,QUOTIENT(Données_Planning!K393,60)))</f>
        <v>0</v>
      </c>
      <c r="V395" s="7" t="str">
        <f t="shared" si="61"/>
        <v>min</v>
      </c>
      <c r="W395" s="36">
        <f>(IF(OR(A395="DWF",A395="DNF"),Données_Planning!K393,MOD(Données_Planning!K393,60)))</f>
        <v>0</v>
      </c>
      <c r="X395" s="38" t="str">
        <f t="shared" si="62"/>
        <v>s</v>
      </c>
      <c r="Y395" s="42"/>
    </row>
    <row r="396" spans="1:25" ht="15.75" x14ac:dyDescent="0.25">
      <c r="A396" s="4">
        <f>Données_Planning!A394</f>
        <v>0</v>
      </c>
      <c r="B396" s="6">
        <f>Données_Planning!B394</f>
        <v>0</v>
      </c>
      <c r="C396" s="28">
        <f>Données_Planning!C394</f>
        <v>0</v>
      </c>
      <c r="D396" s="50">
        <f t="shared" si="54"/>
        <v>0</v>
      </c>
      <c r="E396" s="51">
        <f t="shared" si="55"/>
        <v>0</v>
      </c>
      <c r="F396" s="52">
        <f t="shared" si="56"/>
        <v>0</v>
      </c>
      <c r="G396" s="47">
        <f>Données_Planning!L394</f>
        <v>0</v>
      </c>
      <c r="H396" s="18">
        <f>Données_Planning!H394</f>
        <v>0</v>
      </c>
      <c r="I396" s="5">
        <f>Données_Planning!D394</f>
        <v>0</v>
      </c>
      <c r="J396" s="22">
        <f>Données_Planning!F394</f>
        <v>0</v>
      </c>
      <c r="K396" s="22">
        <f>Données_Planning!E394</f>
        <v>0</v>
      </c>
      <c r="L396" s="35">
        <f>Données_Planning!G394</f>
        <v>0</v>
      </c>
      <c r="M396" s="37">
        <f>(IF(OR(A396="DWF",A396="DNF"),0,QUOTIENT(Données_Planning!J394,60)))</f>
        <v>0</v>
      </c>
      <c r="N396" s="7" t="str">
        <f t="shared" si="57"/>
        <v>min</v>
      </c>
      <c r="O396" s="36">
        <f>(IF(OR(A396="DWF",A396="DNF"),Données_Planning!J394,MOD(Données_Planning!J394,60)))</f>
        <v>0</v>
      </c>
      <c r="P396" s="28" t="str">
        <f t="shared" si="58"/>
        <v>s</v>
      </c>
      <c r="Q396" s="37">
        <f>(IF(OR(A396="DWF",A396="DNF"),0,QUOTIENT(Données_Planning!I394,60)))</f>
        <v>0</v>
      </c>
      <c r="R396" s="7" t="str">
        <f t="shared" si="59"/>
        <v>min</v>
      </c>
      <c r="S396" s="36">
        <f>(IF(OR(A396="DWF",A396="DNF"),Données_Planning!I394,MOD(Données_Planning!I394,60)))</f>
        <v>0</v>
      </c>
      <c r="T396" s="28" t="str">
        <f t="shared" si="60"/>
        <v>s</v>
      </c>
      <c r="U396" s="37">
        <f>(IF(OR(A396="DWF",A396="DNF"),0,QUOTIENT(Données_Planning!K394,60)))</f>
        <v>0</v>
      </c>
      <c r="V396" s="7" t="str">
        <f t="shared" si="61"/>
        <v>min</v>
      </c>
      <c r="W396" s="36">
        <f>(IF(OR(A396="DWF",A396="DNF"),Données_Planning!K394,MOD(Données_Planning!K394,60)))</f>
        <v>0</v>
      </c>
      <c r="X396" s="38" t="str">
        <f t="shared" si="62"/>
        <v>s</v>
      </c>
      <c r="Y396" s="42"/>
    </row>
    <row r="397" spans="1:25" ht="15.75" x14ac:dyDescent="0.25">
      <c r="A397" s="4">
        <f>Données_Planning!A395</f>
        <v>0</v>
      </c>
      <c r="B397" s="6">
        <f>Données_Planning!B395</f>
        <v>0</v>
      </c>
      <c r="C397" s="28">
        <f>Données_Planning!C395</f>
        <v>0</v>
      </c>
      <c r="D397" s="50">
        <f t="shared" si="54"/>
        <v>0</v>
      </c>
      <c r="E397" s="51">
        <f t="shared" si="55"/>
        <v>0</v>
      </c>
      <c r="F397" s="52">
        <f t="shared" si="56"/>
        <v>0</v>
      </c>
      <c r="G397" s="47">
        <f>Données_Planning!L395</f>
        <v>0</v>
      </c>
      <c r="H397" s="18">
        <f>Données_Planning!H395</f>
        <v>0</v>
      </c>
      <c r="I397" s="5">
        <f>Données_Planning!D395</f>
        <v>0</v>
      </c>
      <c r="J397" s="22">
        <f>Données_Planning!F395</f>
        <v>0</v>
      </c>
      <c r="K397" s="22">
        <f>Données_Planning!E395</f>
        <v>0</v>
      </c>
      <c r="L397" s="35">
        <f>Données_Planning!G395</f>
        <v>0</v>
      </c>
      <c r="M397" s="37">
        <f>(IF(OR(A397="DWF",A397="DNF"),0,QUOTIENT(Données_Planning!J395,60)))</f>
        <v>0</v>
      </c>
      <c r="N397" s="7" t="str">
        <f t="shared" si="57"/>
        <v>min</v>
      </c>
      <c r="O397" s="36">
        <f>(IF(OR(A397="DWF",A397="DNF"),Données_Planning!J395,MOD(Données_Planning!J395,60)))</f>
        <v>0</v>
      </c>
      <c r="P397" s="28" t="str">
        <f t="shared" si="58"/>
        <v>s</v>
      </c>
      <c r="Q397" s="37">
        <f>(IF(OR(A397="DWF",A397="DNF"),0,QUOTIENT(Données_Planning!I395,60)))</f>
        <v>0</v>
      </c>
      <c r="R397" s="7" t="str">
        <f t="shared" si="59"/>
        <v>min</v>
      </c>
      <c r="S397" s="36">
        <f>(IF(OR(A397="DWF",A397="DNF"),Données_Planning!I395,MOD(Données_Planning!I395,60)))</f>
        <v>0</v>
      </c>
      <c r="T397" s="28" t="str">
        <f t="shared" si="60"/>
        <v>s</v>
      </c>
      <c r="U397" s="37">
        <f>(IF(OR(A397="DWF",A397="DNF"),0,QUOTIENT(Données_Planning!K395,60)))</f>
        <v>0</v>
      </c>
      <c r="V397" s="7" t="str">
        <f t="shared" si="61"/>
        <v>min</v>
      </c>
      <c r="W397" s="36">
        <f>(IF(OR(A397="DWF",A397="DNF"),Données_Planning!K395,MOD(Données_Planning!K395,60)))</f>
        <v>0</v>
      </c>
      <c r="X397" s="38" t="str">
        <f t="shared" si="62"/>
        <v>s</v>
      </c>
      <c r="Y397" s="42"/>
    </row>
    <row r="398" spans="1:25" ht="15.75" x14ac:dyDescent="0.25">
      <c r="A398" s="4">
        <f>Données_Planning!A396</f>
        <v>0</v>
      </c>
      <c r="B398" s="6">
        <f>Données_Planning!B396</f>
        <v>0</v>
      </c>
      <c r="C398" s="28">
        <f>Données_Planning!C396</f>
        <v>0</v>
      </c>
      <c r="D398" s="50">
        <f t="shared" si="54"/>
        <v>0</v>
      </c>
      <c r="E398" s="51">
        <f t="shared" si="55"/>
        <v>0</v>
      </c>
      <c r="F398" s="52">
        <f t="shared" si="56"/>
        <v>0</v>
      </c>
      <c r="G398" s="47">
        <f>Données_Planning!L396</f>
        <v>0</v>
      </c>
      <c r="H398" s="18">
        <f>Données_Planning!H396</f>
        <v>0</v>
      </c>
      <c r="I398" s="5">
        <f>Données_Planning!D396</f>
        <v>0</v>
      </c>
      <c r="J398" s="22">
        <f>Données_Planning!F396</f>
        <v>0</v>
      </c>
      <c r="K398" s="22">
        <f>Données_Planning!E396</f>
        <v>0</v>
      </c>
      <c r="L398" s="35">
        <f>Données_Planning!G396</f>
        <v>0</v>
      </c>
      <c r="M398" s="37">
        <f>(IF(OR(A398="DWF",A398="DNF"),0,QUOTIENT(Données_Planning!J396,60)))</f>
        <v>0</v>
      </c>
      <c r="N398" s="7" t="str">
        <f t="shared" si="57"/>
        <v>min</v>
      </c>
      <c r="O398" s="36">
        <f>(IF(OR(A398="DWF",A398="DNF"),Données_Planning!J396,MOD(Données_Planning!J396,60)))</f>
        <v>0</v>
      </c>
      <c r="P398" s="28" t="str">
        <f t="shared" si="58"/>
        <v>s</v>
      </c>
      <c r="Q398" s="37">
        <f>(IF(OR(A398="DWF",A398="DNF"),0,QUOTIENT(Données_Planning!I396,60)))</f>
        <v>0</v>
      </c>
      <c r="R398" s="7" t="str">
        <f t="shared" si="59"/>
        <v>min</v>
      </c>
      <c r="S398" s="36">
        <f>(IF(OR(A398="DWF",A398="DNF"),Données_Planning!I396,MOD(Données_Planning!I396,60)))</f>
        <v>0</v>
      </c>
      <c r="T398" s="28" t="str">
        <f t="shared" si="60"/>
        <v>s</v>
      </c>
      <c r="U398" s="37">
        <f>(IF(OR(A398="DWF",A398="DNF"),0,QUOTIENT(Données_Planning!K396,60)))</f>
        <v>0</v>
      </c>
      <c r="V398" s="7" t="str">
        <f t="shared" si="61"/>
        <v>min</v>
      </c>
      <c r="W398" s="36">
        <f>(IF(OR(A398="DWF",A398="DNF"),Données_Planning!K396,MOD(Données_Planning!K396,60)))</f>
        <v>0</v>
      </c>
      <c r="X398" s="38" t="str">
        <f t="shared" si="62"/>
        <v>s</v>
      </c>
      <c r="Y398" s="42"/>
    </row>
    <row r="399" spans="1:25" ht="15.75" x14ac:dyDescent="0.25">
      <c r="A399" s="4">
        <f>Données_Planning!A397</f>
        <v>0</v>
      </c>
      <c r="B399" s="6">
        <f>Données_Planning!B397</f>
        <v>0</v>
      </c>
      <c r="C399" s="28">
        <f>Données_Planning!C397</f>
        <v>0</v>
      </c>
      <c r="D399" s="50">
        <f t="shared" si="54"/>
        <v>0</v>
      </c>
      <c r="E399" s="51">
        <f t="shared" si="55"/>
        <v>0</v>
      </c>
      <c r="F399" s="52">
        <f t="shared" si="56"/>
        <v>0</v>
      </c>
      <c r="G399" s="47">
        <f>Données_Planning!L397</f>
        <v>0</v>
      </c>
      <c r="H399" s="18">
        <f>Données_Planning!H397</f>
        <v>0</v>
      </c>
      <c r="I399" s="5">
        <f>Données_Planning!D397</f>
        <v>0</v>
      </c>
      <c r="J399" s="22">
        <f>Données_Planning!F397</f>
        <v>0</v>
      </c>
      <c r="K399" s="22">
        <f>Données_Planning!E397</f>
        <v>0</v>
      </c>
      <c r="L399" s="35">
        <f>Données_Planning!G397</f>
        <v>0</v>
      </c>
      <c r="M399" s="37">
        <f>(IF(OR(A399="DWF",A399="DNF"),0,QUOTIENT(Données_Planning!J397,60)))</f>
        <v>0</v>
      </c>
      <c r="N399" s="7" t="str">
        <f t="shared" si="57"/>
        <v>min</v>
      </c>
      <c r="O399" s="36">
        <f>(IF(OR(A399="DWF",A399="DNF"),Données_Planning!J397,MOD(Données_Planning!J397,60)))</f>
        <v>0</v>
      </c>
      <c r="P399" s="28" t="str">
        <f t="shared" si="58"/>
        <v>s</v>
      </c>
      <c r="Q399" s="37">
        <f>(IF(OR(A399="DWF",A399="DNF"),0,QUOTIENT(Données_Planning!I397,60)))</f>
        <v>0</v>
      </c>
      <c r="R399" s="7" t="str">
        <f t="shared" si="59"/>
        <v>min</v>
      </c>
      <c r="S399" s="36">
        <f>(IF(OR(A399="DWF",A399="DNF"),Données_Planning!I397,MOD(Données_Planning!I397,60)))</f>
        <v>0</v>
      </c>
      <c r="T399" s="28" t="str">
        <f t="shared" si="60"/>
        <v>s</v>
      </c>
      <c r="U399" s="37">
        <f>(IF(OR(A399="DWF",A399="DNF"),0,QUOTIENT(Données_Planning!K397,60)))</f>
        <v>0</v>
      </c>
      <c r="V399" s="7" t="str">
        <f t="shared" si="61"/>
        <v>min</v>
      </c>
      <c r="W399" s="36">
        <f>(IF(OR(A399="DWF",A399="DNF"),Données_Planning!K397,MOD(Données_Planning!K397,60)))</f>
        <v>0</v>
      </c>
      <c r="X399" s="38" t="str">
        <f t="shared" si="62"/>
        <v>s</v>
      </c>
      <c r="Y399" s="42"/>
    </row>
    <row r="400" spans="1:25" ht="15.75" x14ac:dyDescent="0.25">
      <c r="A400" s="4">
        <f>Données_Planning!A398</f>
        <v>0</v>
      </c>
      <c r="B400" s="6">
        <f>Données_Planning!B398</f>
        <v>0</v>
      </c>
      <c r="C400" s="28">
        <f>Données_Planning!C398</f>
        <v>0</v>
      </c>
      <c r="D400" s="50">
        <f t="shared" si="54"/>
        <v>0</v>
      </c>
      <c r="E400" s="51">
        <f t="shared" si="55"/>
        <v>0</v>
      </c>
      <c r="F400" s="52">
        <f t="shared" si="56"/>
        <v>0</v>
      </c>
      <c r="G400" s="47">
        <f>Données_Planning!L398</f>
        <v>0</v>
      </c>
      <c r="H400" s="18">
        <f>Données_Planning!H398</f>
        <v>0</v>
      </c>
      <c r="I400" s="5">
        <f>Données_Planning!D398</f>
        <v>0</v>
      </c>
      <c r="J400" s="22">
        <f>Données_Planning!F398</f>
        <v>0</v>
      </c>
      <c r="K400" s="22">
        <f>Données_Planning!E398</f>
        <v>0</v>
      </c>
      <c r="L400" s="35">
        <f>Données_Planning!G398</f>
        <v>0</v>
      </c>
      <c r="M400" s="37">
        <f>(IF(OR(A400="DWF",A400="DNF"),0,QUOTIENT(Données_Planning!J398,60)))</f>
        <v>0</v>
      </c>
      <c r="N400" s="7" t="str">
        <f t="shared" si="57"/>
        <v>min</v>
      </c>
      <c r="O400" s="36">
        <f>(IF(OR(A400="DWF",A400="DNF"),Données_Planning!J398,MOD(Données_Planning!J398,60)))</f>
        <v>0</v>
      </c>
      <c r="P400" s="28" t="str">
        <f t="shared" si="58"/>
        <v>s</v>
      </c>
      <c r="Q400" s="37">
        <f>(IF(OR(A400="DWF",A400="DNF"),0,QUOTIENT(Données_Planning!I398,60)))</f>
        <v>0</v>
      </c>
      <c r="R400" s="7" t="str">
        <f t="shared" si="59"/>
        <v>min</v>
      </c>
      <c r="S400" s="36">
        <f>(IF(OR(A400="DWF",A400="DNF"),Données_Planning!I398,MOD(Données_Planning!I398,60)))</f>
        <v>0</v>
      </c>
      <c r="T400" s="28" t="str">
        <f t="shared" si="60"/>
        <v>s</v>
      </c>
      <c r="U400" s="37">
        <f>(IF(OR(A400="DWF",A400="DNF"),0,QUOTIENT(Données_Planning!K398,60)))</f>
        <v>0</v>
      </c>
      <c r="V400" s="7" t="str">
        <f t="shared" si="61"/>
        <v>min</v>
      </c>
      <c r="W400" s="36">
        <f>(IF(OR(A400="DWF",A400="DNF"),Données_Planning!K398,MOD(Données_Planning!K398,60)))</f>
        <v>0</v>
      </c>
      <c r="X400" s="38" t="str">
        <f t="shared" si="62"/>
        <v>s</v>
      </c>
      <c r="Y400" s="42"/>
    </row>
    <row r="401" spans="1:25" ht="15.75" x14ac:dyDescent="0.25">
      <c r="A401" s="4">
        <f>Données_Planning!A399</f>
        <v>0</v>
      </c>
      <c r="B401" s="6">
        <f>Données_Planning!B399</f>
        <v>0</v>
      </c>
      <c r="C401" s="28">
        <f>Données_Planning!C399</f>
        <v>0</v>
      </c>
      <c r="D401" s="50">
        <f t="shared" si="54"/>
        <v>0</v>
      </c>
      <c r="E401" s="51">
        <f t="shared" si="55"/>
        <v>0</v>
      </c>
      <c r="F401" s="52">
        <f t="shared" si="56"/>
        <v>0</v>
      </c>
      <c r="G401" s="47">
        <f>Données_Planning!L399</f>
        <v>0</v>
      </c>
      <c r="H401" s="18">
        <f>Données_Planning!H399</f>
        <v>0</v>
      </c>
      <c r="I401" s="5">
        <f>Données_Planning!D399</f>
        <v>0</v>
      </c>
      <c r="J401" s="22">
        <f>Données_Planning!F399</f>
        <v>0</v>
      </c>
      <c r="K401" s="22">
        <f>Données_Planning!E399</f>
        <v>0</v>
      </c>
      <c r="L401" s="35">
        <f>Données_Planning!G399</f>
        <v>0</v>
      </c>
      <c r="M401" s="37">
        <f>(IF(OR(A401="DWF",A401="DNF"),0,QUOTIENT(Données_Planning!J399,60)))</f>
        <v>0</v>
      </c>
      <c r="N401" s="7" t="str">
        <f t="shared" si="57"/>
        <v>min</v>
      </c>
      <c r="O401" s="36">
        <f>(IF(OR(A401="DWF",A401="DNF"),Données_Planning!J399,MOD(Données_Planning!J399,60)))</f>
        <v>0</v>
      </c>
      <c r="P401" s="28" t="str">
        <f t="shared" si="58"/>
        <v>s</v>
      </c>
      <c r="Q401" s="37">
        <f>(IF(OR(A401="DWF",A401="DNF"),0,QUOTIENT(Données_Planning!I399,60)))</f>
        <v>0</v>
      </c>
      <c r="R401" s="7" t="str">
        <f t="shared" si="59"/>
        <v>min</v>
      </c>
      <c r="S401" s="36">
        <f>(IF(OR(A401="DWF",A401="DNF"),Données_Planning!I399,MOD(Données_Planning!I399,60)))</f>
        <v>0</v>
      </c>
      <c r="T401" s="28" t="str">
        <f t="shared" si="60"/>
        <v>s</v>
      </c>
      <c r="U401" s="37">
        <f>(IF(OR(A401="DWF",A401="DNF"),0,QUOTIENT(Données_Planning!K399,60)))</f>
        <v>0</v>
      </c>
      <c r="V401" s="7" t="str">
        <f t="shared" si="61"/>
        <v>min</v>
      </c>
      <c r="W401" s="36">
        <f>(IF(OR(A401="DWF",A401="DNF"),Données_Planning!K399,MOD(Données_Planning!K399,60)))</f>
        <v>0</v>
      </c>
      <c r="X401" s="38" t="str">
        <f t="shared" si="62"/>
        <v>s</v>
      </c>
      <c r="Y401" s="42"/>
    </row>
    <row r="402" spans="1:25" ht="15.75" x14ac:dyDescent="0.25">
      <c r="A402" s="4">
        <f>Données_Planning!A400</f>
        <v>0</v>
      </c>
      <c r="B402" s="6">
        <f>Données_Planning!B400</f>
        <v>0</v>
      </c>
      <c r="C402" s="28">
        <f>Données_Planning!C400</f>
        <v>0</v>
      </c>
      <c r="D402" s="50">
        <f t="shared" si="54"/>
        <v>0</v>
      </c>
      <c r="E402" s="51">
        <f t="shared" si="55"/>
        <v>0</v>
      </c>
      <c r="F402" s="52">
        <f t="shared" si="56"/>
        <v>0</v>
      </c>
      <c r="G402" s="47">
        <f>Données_Planning!L400</f>
        <v>0</v>
      </c>
      <c r="H402" s="18">
        <f>Données_Planning!H400</f>
        <v>0</v>
      </c>
      <c r="I402" s="5">
        <f>Données_Planning!D400</f>
        <v>0</v>
      </c>
      <c r="J402" s="22">
        <f>Données_Planning!F400</f>
        <v>0</v>
      </c>
      <c r="K402" s="22">
        <f>Données_Planning!E400</f>
        <v>0</v>
      </c>
      <c r="L402" s="35">
        <f>Données_Planning!G400</f>
        <v>0</v>
      </c>
      <c r="M402" s="37">
        <f>(IF(OR(A402="DWF",A402="DNF"),0,QUOTIENT(Données_Planning!J400,60)))</f>
        <v>0</v>
      </c>
      <c r="N402" s="7" t="str">
        <f t="shared" si="57"/>
        <v>min</v>
      </c>
      <c r="O402" s="36">
        <f>(IF(OR(A402="DWF",A402="DNF"),Données_Planning!J400,MOD(Données_Planning!J400,60)))</f>
        <v>0</v>
      </c>
      <c r="P402" s="28" t="str">
        <f t="shared" si="58"/>
        <v>s</v>
      </c>
      <c r="Q402" s="37">
        <f>(IF(OR(A402="DWF",A402="DNF"),0,QUOTIENT(Données_Planning!I400,60)))</f>
        <v>0</v>
      </c>
      <c r="R402" s="7" t="str">
        <f t="shared" si="59"/>
        <v>min</v>
      </c>
      <c r="S402" s="36">
        <f>(IF(OR(A402="DWF",A402="DNF"),Données_Planning!I400,MOD(Données_Planning!I400,60)))</f>
        <v>0</v>
      </c>
      <c r="T402" s="28" t="str">
        <f t="shared" si="60"/>
        <v>s</v>
      </c>
      <c r="U402" s="37">
        <f>(IF(OR(A402="DWF",A402="DNF"),0,QUOTIENT(Données_Planning!K400,60)))</f>
        <v>0</v>
      </c>
      <c r="V402" s="7" t="str">
        <f t="shared" si="61"/>
        <v>min</v>
      </c>
      <c r="W402" s="36">
        <f>(IF(OR(A402="DWF",A402="DNF"),Données_Planning!K400,MOD(Données_Planning!K400,60)))</f>
        <v>0</v>
      </c>
      <c r="X402" s="38" t="str">
        <f t="shared" si="62"/>
        <v>s</v>
      </c>
      <c r="Y402" s="42"/>
    </row>
    <row r="403" spans="1:25" ht="15.75" x14ac:dyDescent="0.25">
      <c r="A403" s="4">
        <f>Données_Planning!A401</f>
        <v>0</v>
      </c>
      <c r="B403" s="6">
        <f>Données_Planning!B401</f>
        <v>0</v>
      </c>
      <c r="C403" s="28">
        <f>Données_Planning!C401</f>
        <v>0</v>
      </c>
      <c r="D403" s="50">
        <f t="shared" si="54"/>
        <v>0</v>
      </c>
      <c r="E403" s="51">
        <f t="shared" si="55"/>
        <v>0</v>
      </c>
      <c r="F403" s="52">
        <f t="shared" si="56"/>
        <v>0</v>
      </c>
      <c r="G403" s="47">
        <f>Données_Planning!L401</f>
        <v>0</v>
      </c>
      <c r="H403" s="18">
        <f>Données_Planning!H401</f>
        <v>0</v>
      </c>
      <c r="I403" s="5">
        <f>Données_Planning!D401</f>
        <v>0</v>
      </c>
      <c r="J403" s="22">
        <f>Données_Planning!F401</f>
        <v>0</v>
      </c>
      <c r="K403" s="22">
        <f>Données_Planning!E401</f>
        <v>0</v>
      </c>
      <c r="L403" s="35">
        <f>Données_Planning!G401</f>
        <v>0</v>
      </c>
      <c r="M403" s="37">
        <f>(IF(OR(A403="DWF",A403="DNF"),0,QUOTIENT(Données_Planning!J401,60)))</f>
        <v>0</v>
      </c>
      <c r="N403" s="7" t="str">
        <f t="shared" si="57"/>
        <v>min</v>
      </c>
      <c r="O403" s="36">
        <f>(IF(OR(A403="DWF",A403="DNF"),Données_Planning!J401,MOD(Données_Planning!J401,60)))</f>
        <v>0</v>
      </c>
      <c r="P403" s="28" t="str">
        <f t="shared" si="58"/>
        <v>s</v>
      </c>
      <c r="Q403" s="37">
        <f>(IF(OR(A403="DWF",A403="DNF"),0,QUOTIENT(Données_Planning!I401,60)))</f>
        <v>0</v>
      </c>
      <c r="R403" s="7" t="str">
        <f t="shared" si="59"/>
        <v>min</v>
      </c>
      <c r="S403" s="36">
        <f>(IF(OR(A403="DWF",A403="DNF"),Données_Planning!I401,MOD(Données_Planning!I401,60)))</f>
        <v>0</v>
      </c>
      <c r="T403" s="28" t="str">
        <f t="shared" si="60"/>
        <v>s</v>
      </c>
      <c r="U403" s="37">
        <f>(IF(OR(A403="DWF",A403="DNF"),0,QUOTIENT(Données_Planning!K401,60)))</f>
        <v>0</v>
      </c>
      <c r="V403" s="7" t="str">
        <f t="shared" si="61"/>
        <v>min</v>
      </c>
      <c r="W403" s="36">
        <f>(IF(OR(A403="DWF",A403="DNF"),Données_Planning!K401,MOD(Données_Planning!K401,60)))</f>
        <v>0</v>
      </c>
      <c r="X403" s="38" t="str">
        <f t="shared" si="62"/>
        <v>s</v>
      </c>
      <c r="Y403" s="42"/>
    </row>
    <row r="404" spans="1:25" ht="15.75" x14ac:dyDescent="0.25">
      <c r="A404" s="4">
        <f>Données_Planning!A402</f>
        <v>0</v>
      </c>
      <c r="B404" s="6">
        <f>Données_Planning!B402</f>
        <v>0</v>
      </c>
      <c r="C404" s="28">
        <f>Données_Planning!C402</f>
        <v>0</v>
      </c>
      <c r="D404" s="50">
        <f t="shared" si="54"/>
        <v>0</v>
      </c>
      <c r="E404" s="51">
        <f t="shared" si="55"/>
        <v>0</v>
      </c>
      <c r="F404" s="52">
        <f t="shared" si="56"/>
        <v>0</v>
      </c>
      <c r="G404" s="47">
        <f>Données_Planning!L402</f>
        <v>0</v>
      </c>
      <c r="H404" s="18">
        <f>Données_Planning!H402</f>
        <v>0</v>
      </c>
      <c r="I404" s="5">
        <f>Données_Planning!D402</f>
        <v>0</v>
      </c>
      <c r="J404" s="22">
        <f>Données_Planning!F402</f>
        <v>0</v>
      </c>
      <c r="K404" s="22">
        <f>Données_Planning!E402</f>
        <v>0</v>
      </c>
      <c r="L404" s="35">
        <f>Données_Planning!G402</f>
        <v>0</v>
      </c>
      <c r="M404" s="37">
        <f>(IF(OR(A404="DWF",A404="DNF"),0,QUOTIENT(Données_Planning!J402,60)))</f>
        <v>0</v>
      </c>
      <c r="N404" s="7" t="str">
        <f t="shared" si="57"/>
        <v>min</v>
      </c>
      <c r="O404" s="36">
        <f>(IF(OR(A404="DWF",A404="DNF"),Données_Planning!J402,MOD(Données_Planning!J402,60)))</f>
        <v>0</v>
      </c>
      <c r="P404" s="28" t="str">
        <f t="shared" si="58"/>
        <v>s</v>
      </c>
      <c r="Q404" s="37">
        <f>(IF(OR(A404="DWF",A404="DNF"),0,QUOTIENT(Données_Planning!I402,60)))</f>
        <v>0</v>
      </c>
      <c r="R404" s="7" t="str">
        <f t="shared" si="59"/>
        <v>min</v>
      </c>
      <c r="S404" s="36">
        <f>(IF(OR(A404="DWF",A404="DNF"),Données_Planning!I402,MOD(Données_Planning!I402,60)))</f>
        <v>0</v>
      </c>
      <c r="T404" s="28" t="str">
        <f t="shared" si="60"/>
        <v>s</v>
      </c>
      <c r="U404" s="37">
        <f>(IF(OR(A404="DWF",A404="DNF"),0,QUOTIENT(Données_Planning!K402,60)))</f>
        <v>0</v>
      </c>
      <c r="V404" s="7" t="str">
        <f t="shared" si="61"/>
        <v>min</v>
      </c>
      <c r="W404" s="36">
        <f>(IF(OR(A404="DWF",A404="DNF"),Données_Planning!K402,MOD(Données_Planning!K402,60)))</f>
        <v>0</v>
      </c>
      <c r="X404" s="38" t="str">
        <f t="shared" si="62"/>
        <v>s</v>
      </c>
      <c r="Y404" s="42"/>
    </row>
    <row r="405" spans="1:25" ht="15.75" x14ac:dyDescent="0.25">
      <c r="A405" s="4">
        <f>Données_Planning!A403</f>
        <v>0</v>
      </c>
      <c r="B405" s="6">
        <f>Données_Planning!B403</f>
        <v>0</v>
      </c>
      <c r="C405" s="28">
        <f>Données_Planning!C403</f>
        <v>0</v>
      </c>
      <c r="D405" s="50">
        <f t="shared" si="54"/>
        <v>0</v>
      </c>
      <c r="E405" s="51">
        <f t="shared" si="55"/>
        <v>0</v>
      </c>
      <c r="F405" s="52">
        <f t="shared" si="56"/>
        <v>0</v>
      </c>
      <c r="G405" s="47">
        <f>Données_Planning!L403</f>
        <v>0</v>
      </c>
      <c r="H405" s="18">
        <f>Données_Planning!H403</f>
        <v>0</v>
      </c>
      <c r="I405" s="5">
        <f>Données_Planning!D403</f>
        <v>0</v>
      </c>
      <c r="J405" s="22">
        <f>Données_Planning!F403</f>
        <v>0</v>
      </c>
      <c r="K405" s="22">
        <f>Données_Planning!E403</f>
        <v>0</v>
      </c>
      <c r="L405" s="35">
        <f>Données_Planning!G403</f>
        <v>0</v>
      </c>
      <c r="M405" s="37">
        <f>(IF(OR(A405="DWF",A405="DNF"),0,QUOTIENT(Données_Planning!J403,60)))</f>
        <v>0</v>
      </c>
      <c r="N405" s="7" t="str">
        <f t="shared" si="57"/>
        <v>min</v>
      </c>
      <c r="O405" s="36">
        <f>(IF(OR(A405="DWF",A405="DNF"),Données_Planning!J403,MOD(Données_Planning!J403,60)))</f>
        <v>0</v>
      </c>
      <c r="P405" s="28" t="str">
        <f t="shared" si="58"/>
        <v>s</v>
      </c>
      <c r="Q405" s="37">
        <f>(IF(OR(A405="DWF",A405="DNF"),0,QUOTIENT(Données_Planning!I403,60)))</f>
        <v>0</v>
      </c>
      <c r="R405" s="7" t="str">
        <f t="shared" si="59"/>
        <v>min</v>
      </c>
      <c r="S405" s="36">
        <f>(IF(OR(A405="DWF",A405="DNF"),Données_Planning!I403,MOD(Données_Planning!I403,60)))</f>
        <v>0</v>
      </c>
      <c r="T405" s="28" t="str">
        <f t="shared" si="60"/>
        <v>s</v>
      </c>
      <c r="U405" s="37">
        <f>(IF(OR(A405="DWF",A405="DNF"),0,QUOTIENT(Données_Planning!K403,60)))</f>
        <v>0</v>
      </c>
      <c r="V405" s="7" t="str">
        <f t="shared" si="61"/>
        <v>min</v>
      </c>
      <c r="W405" s="36">
        <f>(IF(OR(A405="DWF",A405="DNF"),Données_Planning!K403,MOD(Données_Planning!K403,60)))</f>
        <v>0</v>
      </c>
      <c r="X405" s="38" t="str">
        <f t="shared" si="62"/>
        <v>s</v>
      </c>
      <c r="Y405" s="42"/>
    </row>
    <row r="406" spans="1:25" ht="15.75" x14ac:dyDescent="0.25">
      <c r="A406" s="4">
        <f>Données_Planning!A404</f>
        <v>0</v>
      </c>
      <c r="B406" s="6">
        <f>Données_Planning!B404</f>
        <v>0</v>
      </c>
      <c r="C406" s="28">
        <f>Données_Planning!C404</f>
        <v>0</v>
      </c>
      <c r="D406" s="50">
        <f t="shared" si="54"/>
        <v>0</v>
      </c>
      <c r="E406" s="51">
        <f t="shared" si="55"/>
        <v>0</v>
      </c>
      <c r="F406" s="52">
        <f t="shared" si="56"/>
        <v>0</v>
      </c>
      <c r="G406" s="47">
        <f>Données_Planning!L404</f>
        <v>0</v>
      </c>
      <c r="H406" s="18">
        <f>Données_Planning!H404</f>
        <v>0</v>
      </c>
      <c r="I406" s="5">
        <f>Données_Planning!D404</f>
        <v>0</v>
      </c>
      <c r="J406" s="22">
        <f>Données_Planning!F404</f>
        <v>0</v>
      </c>
      <c r="K406" s="22">
        <f>Données_Planning!E404</f>
        <v>0</v>
      </c>
      <c r="L406" s="35">
        <f>Données_Planning!G404</f>
        <v>0</v>
      </c>
      <c r="M406" s="37">
        <f>(IF(OR(A406="DWF",A406="DNF"),0,QUOTIENT(Données_Planning!J404,60)))</f>
        <v>0</v>
      </c>
      <c r="N406" s="7" t="str">
        <f t="shared" si="57"/>
        <v>min</v>
      </c>
      <c r="O406" s="36">
        <f>(IF(OR(A406="DWF",A406="DNF"),Données_Planning!J404,MOD(Données_Planning!J404,60)))</f>
        <v>0</v>
      </c>
      <c r="P406" s="28" t="str">
        <f t="shared" si="58"/>
        <v>s</v>
      </c>
      <c r="Q406" s="37">
        <f>(IF(OR(A406="DWF",A406="DNF"),0,QUOTIENT(Données_Planning!I404,60)))</f>
        <v>0</v>
      </c>
      <c r="R406" s="7" t="str">
        <f t="shared" si="59"/>
        <v>min</v>
      </c>
      <c r="S406" s="36">
        <f>(IF(OR(A406="DWF",A406="DNF"),Données_Planning!I404,MOD(Données_Planning!I404,60)))</f>
        <v>0</v>
      </c>
      <c r="T406" s="28" t="str">
        <f t="shared" si="60"/>
        <v>s</v>
      </c>
      <c r="U406" s="37">
        <f>(IF(OR(A406="DWF",A406="DNF"),0,QUOTIENT(Données_Planning!K404,60)))</f>
        <v>0</v>
      </c>
      <c r="V406" s="7" t="str">
        <f t="shared" si="61"/>
        <v>min</v>
      </c>
      <c r="W406" s="36">
        <f>(IF(OR(A406="DWF",A406="DNF"),Données_Planning!K404,MOD(Données_Planning!K404,60)))</f>
        <v>0</v>
      </c>
      <c r="X406" s="38" t="str">
        <f t="shared" si="62"/>
        <v>s</v>
      </c>
      <c r="Y406" s="42"/>
    </row>
    <row r="407" spans="1:25" ht="15.75" x14ac:dyDescent="0.25">
      <c r="A407" s="4">
        <f>Données_Planning!A405</f>
        <v>0</v>
      </c>
      <c r="B407" s="6">
        <f>Données_Planning!B405</f>
        <v>0</v>
      </c>
      <c r="C407" s="28">
        <f>Données_Planning!C405</f>
        <v>0</v>
      </c>
      <c r="D407" s="50">
        <f t="shared" si="54"/>
        <v>0</v>
      </c>
      <c r="E407" s="51">
        <f t="shared" si="55"/>
        <v>0</v>
      </c>
      <c r="F407" s="52">
        <f t="shared" si="56"/>
        <v>0</v>
      </c>
      <c r="G407" s="47">
        <f>Données_Planning!L405</f>
        <v>0</v>
      </c>
      <c r="H407" s="18">
        <f>Données_Planning!H405</f>
        <v>0</v>
      </c>
      <c r="I407" s="5">
        <f>Données_Planning!D405</f>
        <v>0</v>
      </c>
      <c r="J407" s="22">
        <f>Données_Planning!F405</f>
        <v>0</v>
      </c>
      <c r="K407" s="22">
        <f>Données_Planning!E405</f>
        <v>0</v>
      </c>
      <c r="L407" s="35">
        <f>Données_Planning!G405</f>
        <v>0</v>
      </c>
      <c r="M407" s="37">
        <f>(IF(OR(A407="DWF",A407="DNF"),0,QUOTIENT(Données_Planning!J405,60)))</f>
        <v>0</v>
      </c>
      <c r="N407" s="7" t="str">
        <f t="shared" si="57"/>
        <v>min</v>
      </c>
      <c r="O407" s="36">
        <f>(IF(OR(A407="DWF",A407="DNF"),Données_Planning!J405,MOD(Données_Planning!J405,60)))</f>
        <v>0</v>
      </c>
      <c r="P407" s="28" t="str">
        <f t="shared" si="58"/>
        <v>s</v>
      </c>
      <c r="Q407" s="37">
        <f>(IF(OR(A407="DWF",A407="DNF"),0,QUOTIENT(Données_Planning!I405,60)))</f>
        <v>0</v>
      </c>
      <c r="R407" s="7" t="str">
        <f t="shared" si="59"/>
        <v>min</v>
      </c>
      <c r="S407" s="36">
        <f>(IF(OR(A407="DWF",A407="DNF"),Données_Planning!I405,MOD(Données_Planning!I405,60)))</f>
        <v>0</v>
      </c>
      <c r="T407" s="28" t="str">
        <f t="shared" si="60"/>
        <v>s</v>
      </c>
      <c r="U407" s="37">
        <f>(IF(OR(A407="DWF",A407="DNF"),0,QUOTIENT(Données_Planning!K405,60)))</f>
        <v>0</v>
      </c>
      <c r="V407" s="7" t="str">
        <f t="shared" si="61"/>
        <v>min</v>
      </c>
      <c r="W407" s="36">
        <f>(IF(OR(A407="DWF",A407="DNF"),Données_Planning!K405,MOD(Données_Planning!K405,60)))</f>
        <v>0</v>
      </c>
      <c r="X407" s="38" t="str">
        <f t="shared" si="62"/>
        <v>s</v>
      </c>
      <c r="Y407" s="42"/>
    </row>
    <row r="408" spans="1:25" ht="15.75" x14ac:dyDescent="0.25">
      <c r="A408" s="4">
        <f>Données_Planning!A406</f>
        <v>0</v>
      </c>
      <c r="B408" s="6">
        <f>Données_Planning!B406</f>
        <v>0</v>
      </c>
      <c r="C408" s="28">
        <f>Données_Planning!C406</f>
        <v>0</v>
      </c>
      <c r="D408" s="50">
        <f t="shared" si="54"/>
        <v>0</v>
      </c>
      <c r="E408" s="51">
        <f t="shared" si="55"/>
        <v>0</v>
      </c>
      <c r="F408" s="52">
        <f t="shared" si="56"/>
        <v>0</v>
      </c>
      <c r="G408" s="47">
        <f>Données_Planning!L406</f>
        <v>0</v>
      </c>
      <c r="H408" s="18">
        <f>Données_Planning!H406</f>
        <v>0</v>
      </c>
      <c r="I408" s="5">
        <f>Données_Planning!D406</f>
        <v>0</v>
      </c>
      <c r="J408" s="22">
        <f>Données_Planning!F406</f>
        <v>0</v>
      </c>
      <c r="K408" s="22">
        <f>Données_Planning!E406</f>
        <v>0</v>
      </c>
      <c r="L408" s="35">
        <f>Données_Planning!G406</f>
        <v>0</v>
      </c>
      <c r="M408" s="37">
        <f>(IF(OR(A408="DWF",A408="DNF"),0,QUOTIENT(Données_Planning!J406,60)))</f>
        <v>0</v>
      </c>
      <c r="N408" s="7" t="str">
        <f t="shared" si="57"/>
        <v>min</v>
      </c>
      <c r="O408" s="36">
        <f>(IF(OR(A408="DWF",A408="DNF"),Données_Planning!J406,MOD(Données_Planning!J406,60)))</f>
        <v>0</v>
      </c>
      <c r="P408" s="28" t="str">
        <f t="shared" si="58"/>
        <v>s</v>
      </c>
      <c r="Q408" s="37">
        <f>(IF(OR(A408="DWF",A408="DNF"),0,QUOTIENT(Données_Planning!I406,60)))</f>
        <v>0</v>
      </c>
      <c r="R408" s="7" t="str">
        <f t="shared" si="59"/>
        <v>min</v>
      </c>
      <c r="S408" s="36">
        <f>(IF(OR(A408="DWF",A408="DNF"),Données_Planning!I406,MOD(Données_Planning!I406,60)))</f>
        <v>0</v>
      </c>
      <c r="T408" s="28" t="str">
        <f t="shared" si="60"/>
        <v>s</v>
      </c>
      <c r="U408" s="37">
        <f>(IF(OR(A408="DWF",A408="DNF"),0,QUOTIENT(Données_Planning!K406,60)))</f>
        <v>0</v>
      </c>
      <c r="V408" s="7" t="str">
        <f t="shared" si="61"/>
        <v>min</v>
      </c>
      <c r="W408" s="36">
        <f>(IF(OR(A408="DWF",A408="DNF"),Données_Planning!K406,MOD(Données_Planning!K406,60)))</f>
        <v>0</v>
      </c>
      <c r="X408" s="38" t="str">
        <f t="shared" si="62"/>
        <v>s</v>
      </c>
      <c r="Y408" s="42"/>
    </row>
    <row r="409" spans="1:25" ht="15.75" x14ac:dyDescent="0.25">
      <c r="A409" s="4">
        <f>Données_Planning!A407</f>
        <v>0</v>
      </c>
      <c r="B409" s="6">
        <f>Données_Planning!B407</f>
        <v>0</v>
      </c>
      <c r="C409" s="28">
        <f>Données_Planning!C407</f>
        <v>0</v>
      </c>
      <c r="D409" s="50">
        <f t="shared" si="54"/>
        <v>0</v>
      </c>
      <c r="E409" s="51">
        <f t="shared" si="55"/>
        <v>0</v>
      </c>
      <c r="F409" s="52">
        <f t="shared" si="56"/>
        <v>0</v>
      </c>
      <c r="G409" s="47">
        <f>Données_Planning!L407</f>
        <v>0</v>
      </c>
      <c r="H409" s="18">
        <f>Données_Planning!H407</f>
        <v>0</v>
      </c>
      <c r="I409" s="5">
        <f>Données_Planning!D407</f>
        <v>0</v>
      </c>
      <c r="J409" s="22">
        <f>Données_Planning!F407</f>
        <v>0</v>
      </c>
      <c r="K409" s="22">
        <f>Données_Planning!E407</f>
        <v>0</v>
      </c>
      <c r="L409" s="35">
        <f>Données_Planning!G407</f>
        <v>0</v>
      </c>
      <c r="M409" s="37">
        <f>(IF(OR(A409="DWF",A409="DNF"),0,QUOTIENT(Données_Planning!J407,60)))</f>
        <v>0</v>
      </c>
      <c r="N409" s="7" t="str">
        <f t="shared" si="57"/>
        <v>min</v>
      </c>
      <c r="O409" s="36">
        <f>(IF(OR(A409="DWF",A409="DNF"),Données_Planning!J407,MOD(Données_Planning!J407,60)))</f>
        <v>0</v>
      </c>
      <c r="P409" s="28" t="str">
        <f t="shared" si="58"/>
        <v>s</v>
      </c>
      <c r="Q409" s="37">
        <f>(IF(OR(A409="DWF",A409="DNF"),0,QUOTIENT(Données_Planning!I407,60)))</f>
        <v>0</v>
      </c>
      <c r="R409" s="7" t="str">
        <f t="shared" si="59"/>
        <v>min</v>
      </c>
      <c r="S409" s="36">
        <f>(IF(OR(A409="DWF",A409="DNF"),Données_Planning!I407,MOD(Données_Planning!I407,60)))</f>
        <v>0</v>
      </c>
      <c r="T409" s="28" t="str">
        <f t="shared" si="60"/>
        <v>s</v>
      </c>
      <c r="U409" s="37">
        <f>(IF(OR(A409="DWF",A409="DNF"),0,QUOTIENT(Données_Planning!K407,60)))</f>
        <v>0</v>
      </c>
      <c r="V409" s="7" t="str">
        <f t="shared" si="61"/>
        <v>min</v>
      </c>
      <c r="W409" s="36">
        <f>(IF(OR(A409="DWF",A409="DNF"),Données_Planning!K407,MOD(Données_Planning!K407,60)))</f>
        <v>0</v>
      </c>
      <c r="X409" s="38" t="str">
        <f t="shared" si="62"/>
        <v>s</v>
      </c>
      <c r="Y409" s="42"/>
    </row>
    <row r="410" spans="1:25" ht="15.75" x14ac:dyDescent="0.25">
      <c r="A410" s="4">
        <f>Données_Planning!A408</f>
        <v>0</v>
      </c>
      <c r="B410" s="6">
        <f>Données_Planning!B408</f>
        <v>0</v>
      </c>
      <c r="C410" s="28">
        <f>Données_Planning!C408</f>
        <v>0</v>
      </c>
      <c r="D410" s="50">
        <f t="shared" si="54"/>
        <v>0</v>
      </c>
      <c r="E410" s="51">
        <f t="shared" si="55"/>
        <v>0</v>
      </c>
      <c r="F410" s="52">
        <f t="shared" si="56"/>
        <v>0</v>
      </c>
      <c r="G410" s="47">
        <f>Données_Planning!L408</f>
        <v>0</v>
      </c>
      <c r="H410" s="18">
        <f>Données_Planning!H408</f>
        <v>0</v>
      </c>
      <c r="I410" s="5">
        <f>Données_Planning!D408</f>
        <v>0</v>
      </c>
      <c r="J410" s="22">
        <f>Données_Planning!F408</f>
        <v>0</v>
      </c>
      <c r="K410" s="22">
        <f>Données_Planning!E408</f>
        <v>0</v>
      </c>
      <c r="L410" s="35">
        <f>Données_Planning!G408</f>
        <v>0</v>
      </c>
      <c r="M410" s="37">
        <f>(IF(OR(A410="DWF",A410="DNF"),0,QUOTIENT(Données_Planning!J408,60)))</f>
        <v>0</v>
      </c>
      <c r="N410" s="7" t="str">
        <f t="shared" si="57"/>
        <v>min</v>
      </c>
      <c r="O410" s="36">
        <f>(IF(OR(A410="DWF",A410="DNF"),Données_Planning!J408,MOD(Données_Planning!J408,60)))</f>
        <v>0</v>
      </c>
      <c r="P410" s="28" t="str">
        <f t="shared" si="58"/>
        <v>s</v>
      </c>
      <c r="Q410" s="37">
        <f>(IF(OR(A410="DWF",A410="DNF"),0,QUOTIENT(Données_Planning!I408,60)))</f>
        <v>0</v>
      </c>
      <c r="R410" s="7" t="str">
        <f t="shared" si="59"/>
        <v>min</v>
      </c>
      <c r="S410" s="36">
        <f>(IF(OR(A410="DWF",A410="DNF"),Données_Planning!I408,MOD(Données_Planning!I408,60)))</f>
        <v>0</v>
      </c>
      <c r="T410" s="28" t="str">
        <f t="shared" si="60"/>
        <v>s</v>
      </c>
      <c r="U410" s="37">
        <f>(IF(OR(A410="DWF",A410="DNF"),0,QUOTIENT(Données_Planning!K408,60)))</f>
        <v>0</v>
      </c>
      <c r="V410" s="7" t="str">
        <f t="shared" si="61"/>
        <v>min</v>
      </c>
      <c r="W410" s="36">
        <f>(IF(OR(A410="DWF",A410="DNF"),Données_Planning!K408,MOD(Données_Planning!K408,60)))</f>
        <v>0</v>
      </c>
      <c r="X410" s="38" t="str">
        <f t="shared" si="62"/>
        <v>s</v>
      </c>
      <c r="Y410" s="42"/>
    </row>
    <row r="411" spans="1:25" ht="15.75" x14ac:dyDescent="0.25">
      <c r="A411" s="4">
        <f>Données_Planning!A409</f>
        <v>0</v>
      </c>
      <c r="B411" s="6">
        <f>Données_Planning!B409</f>
        <v>0</v>
      </c>
      <c r="C411" s="28">
        <f>Données_Planning!C409</f>
        <v>0</v>
      </c>
      <c r="D411" s="50">
        <f t="shared" si="54"/>
        <v>0</v>
      </c>
      <c r="E411" s="51">
        <f t="shared" si="55"/>
        <v>0</v>
      </c>
      <c r="F411" s="52">
        <f t="shared" si="56"/>
        <v>0</v>
      </c>
      <c r="G411" s="47">
        <f>Données_Planning!L409</f>
        <v>0</v>
      </c>
      <c r="H411" s="18">
        <f>Données_Planning!H409</f>
        <v>0</v>
      </c>
      <c r="I411" s="5">
        <f>Données_Planning!D409</f>
        <v>0</v>
      </c>
      <c r="J411" s="22">
        <f>Données_Planning!F409</f>
        <v>0</v>
      </c>
      <c r="K411" s="22">
        <f>Données_Planning!E409</f>
        <v>0</v>
      </c>
      <c r="L411" s="35">
        <f>Données_Planning!G409</f>
        <v>0</v>
      </c>
      <c r="M411" s="37">
        <f>(IF(OR(A411="DWF",A411="DNF"),0,QUOTIENT(Données_Planning!J409,60)))</f>
        <v>0</v>
      </c>
      <c r="N411" s="7" t="str">
        <f t="shared" si="57"/>
        <v>min</v>
      </c>
      <c r="O411" s="36">
        <f>(IF(OR(A411="DWF",A411="DNF"),Données_Planning!J409,MOD(Données_Planning!J409,60)))</f>
        <v>0</v>
      </c>
      <c r="P411" s="28" t="str">
        <f t="shared" si="58"/>
        <v>s</v>
      </c>
      <c r="Q411" s="37">
        <f>(IF(OR(A411="DWF",A411="DNF"),0,QUOTIENT(Données_Planning!I409,60)))</f>
        <v>0</v>
      </c>
      <c r="R411" s="7" t="str">
        <f t="shared" si="59"/>
        <v>min</v>
      </c>
      <c r="S411" s="36">
        <f>(IF(OR(A411="DWF",A411="DNF"),Données_Planning!I409,MOD(Données_Planning!I409,60)))</f>
        <v>0</v>
      </c>
      <c r="T411" s="28" t="str">
        <f t="shared" si="60"/>
        <v>s</v>
      </c>
      <c r="U411" s="37">
        <f>(IF(OR(A411="DWF",A411="DNF"),0,QUOTIENT(Données_Planning!K409,60)))</f>
        <v>0</v>
      </c>
      <c r="V411" s="7" t="str">
        <f t="shared" si="61"/>
        <v>min</v>
      </c>
      <c r="W411" s="36">
        <f>(IF(OR(A411="DWF",A411="DNF"),Données_Planning!K409,MOD(Données_Planning!K409,60)))</f>
        <v>0</v>
      </c>
      <c r="X411" s="38" t="str">
        <f t="shared" si="62"/>
        <v>s</v>
      </c>
      <c r="Y411" s="42"/>
    </row>
    <row r="412" spans="1:25" ht="15.75" x14ac:dyDescent="0.25">
      <c r="A412" s="4">
        <f>Données_Planning!A410</f>
        <v>0</v>
      </c>
      <c r="B412" s="6">
        <f>Données_Planning!B410</f>
        <v>0</v>
      </c>
      <c r="C412" s="28">
        <f>Données_Planning!C410</f>
        <v>0</v>
      </c>
      <c r="D412" s="50">
        <f t="shared" si="54"/>
        <v>0</v>
      </c>
      <c r="E412" s="51">
        <f t="shared" si="55"/>
        <v>0</v>
      </c>
      <c r="F412" s="52">
        <f t="shared" si="56"/>
        <v>0</v>
      </c>
      <c r="G412" s="47">
        <f>Données_Planning!L410</f>
        <v>0</v>
      </c>
      <c r="H412" s="18">
        <f>Données_Planning!H410</f>
        <v>0</v>
      </c>
      <c r="I412" s="5">
        <f>Données_Planning!D410</f>
        <v>0</v>
      </c>
      <c r="J412" s="22">
        <f>Données_Planning!F410</f>
        <v>0</v>
      </c>
      <c r="K412" s="22">
        <f>Données_Planning!E410</f>
        <v>0</v>
      </c>
      <c r="L412" s="35">
        <f>Données_Planning!G410</f>
        <v>0</v>
      </c>
      <c r="M412" s="37">
        <f>(IF(OR(A412="DWF",A412="DNF"),0,QUOTIENT(Données_Planning!J410,60)))</f>
        <v>0</v>
      </c>
      <c r="N412" s="7" t="str">
        <f t="shared" si="57"/>
        <v>min</v>
      </c>
      <c r="O412" s="36">
        <f>(IF(OR(A412="DWF",A412="DNF"),Données_Planning!J410,MOD(Données_Planning!J410,60)))</f>
        <v>0</v>
      </c>
      <c r="P412" s="28" t="str">
        <f t="shared" si="58"/>
        <v>s</v>
      </c>
      <c r="Q412" s="37">
        <f>(IF(OR(A412="DWF",A412="DNF"),0,QUOTIENT(Données_Planning!I410,60)))</f>
        <v>0</v>
      </c>
      <c r="R412" s="7" t="str">
        <f t="shared" si="59"/>
        <v>min</v>
      </c>
      <c r="S412" s="36">
        <f>(IF(OR(A412="DWF",A412="DNF"),Données_Planning!I410,MOD(Données_Planning!I410,60)))</f>
        <v>0</v>
      </c>
      <c r="T412" s="28" t="str">
        <f t="shared" si="60"/>
        <v>s</v>
      </c>
      <c r="U412" s="37">
        <f>(IF(OR(A412="DWF",A412="DNF"),0,QUOTIENT(Données_Planning!K410,60)))</f>
        <v>0</v>
      </c>
      <c r="V412" s="7" t="str">
        <f t="shared" si="61"/>
        <v>min</v>
      </c>
      <c r="W412" s="36">
        <f>(IF(OR(A412="DWF",A412="DNF"),Données_Planning!K410,MOD(Données_Planning!K410,60)))</f>
        <v>0</v>
      </c>
      <c r="X412" s="38" t="str">
        <f t="shared" si="62"/>
        <v>s</v>
      </c>
      <c r="Y412" s="42"/>
    </row>
    <row r="413" spans="1:25" ht="15.75" x14ac:dyDescent="0.25">
      <c r="A413" s="4">
        <f>Données_Planning!A411</f>
        <v>0</v>
      </c>
      <c r="B413" s="6">
        <f>Données_Planning!B411</f>
        <v>0</v>
      </c>
      <c r="C413" s="28">
        <f>Données_Planning!C411</f>
        <v>0</v>
      </c>
      <c r="D413" s="50">
        <f t="shared" si="54"/>
        <v>0</v>
      </c>
      <c r="E413" s="51">
        <f t="shared" si="55"/>
        <v>0</v>
      </c>
      <c r="F413" s="52">
        <f t="shared" si="56"/>
        <v>0</v>
      </c>
      <c r="G413" s="47">
        <f>Données_Planning!L411</f>
        <v>0</v>
      </c>
      <c r="H413" s="18">
        <f>Données_Planning!H411</f>
        <v>0</v>
      </c>
      <c r="I413" s="5">
        <f>Données_Planning!D411</f>
        <v>0</v>
      </c>
      <c r="J413" s="22">
        <f>Données_Planning!F411</f>
        <v>0</v>
      </c>
      <c r="K413" s="22">
        <f>Données_Planning!E411</f>
        <v>0</v>
      </c>
      <c r="L413" s="35">
        <f>Données_Planning!G411</f>
        <v>0</v>
      </c>
      <c r="M413" s="37">
        <f>(IF(OR(A413="DWF",A413="DNF"),0,QUOTIENT(Données_Planning!J411,60)))</f>
        <v>0</v>
      </c>
      <c r="N413" s="7" t="str">
        <f t="shared" si="57"/>
        <v>min</v>
      </c>
      <c r="O413" s="36">
        <f>(IF(OR(A413="DWF",A413="DNF"),Données_Planning!J411,MOD(Données_Planning!J411,60)))</f>
        <v>0</v>
      </c>
      <c r="P413" s="28" t="str">
        <f t="shared" si="58"/>
        <v>s</v>
      </c>
      <c r="Q413" s="37">
        <f>(IF(OR(A413="DWF",A413="DNF"),0,QUOTIENT(Données_Planning!I411,60)))</f>
        <v>0</v>
      </c>
      <c r="R413" s="7" t="str">
        <f t="shared" si="59"/>
        <v>min</v>
      </c>
      <c r="S413" s="36">
        <f>(IF(OR(A413="DWF",A413="DNF"),Données_Planning!I411,MOD(Données_Planning!I411,60)))</f>
        <v>0</v>
      </c>
      <c r="T413" s="28" t="str">
        <f t="shared" si="60"/>
        <v>s</v>
      </c>
      <c r="U413" s="37">
        <f>(IF(OR(A413="DWF",A413="DNF"),0,QUOTIENT(Données_Planning!K411,60)))</f>
        <v>0</v>
      </c>
      <c r="V413" s="7" t="str">
        <f t="shared" si="61"/>
        <v>min</v>
      </c>
      <c r="W413" s="36">
        <f>(IF(OR(A413="DWF",A413="DNF"),Données_Planning!K411,MOD(Données_Planning!K411,60)))</f>
        <v>0</v>
      </c>
      <c r="X413" s="38" t="str">
        <f t="shared" si="62"/>
        <v>s</v>
      </c>
      <c r="Y413" s="42"/>
    </row>
    <row r="414" spans="1:25" ht="15.75" x14ac:dyDescent="0.25">
      <c r="A414" s="4">
        <f>Données_Planning!A412</f>
        <v>0</v>
      </c>
      <c r="B414" s="6">
        <f>Données_Planning!B412</f>
        <v>0</v>
      </c>
      <c r="C414" s="28">
        <f>Données_Planning!C412</f>
        <v>0</v>
      </c>
      <c r="D414" s="50">
        <f t="shared" si="54"/>
        <v>0</v>
      </c>
      <c r="E414" s="51">
        <f t="shared" si="55"/>
        <v>0</v>
      </c>
      <c r="F414" s="52">
        <f t="shared" si="56"/>
        <v>0</v>
      </c>
      <c r="G414" s="47">
        <f>Données_Planning!L412</f>
        <v>0</v>
      </c>
      <c r="H414" s="18">
        <f>Données_Planning!H412</f>
        <v>0</v>
      </c>
      <c r="I414" s="5">
        <f>Données_Planning!D412</f>
        <v>0</v>
      </c>
      <c r="J414" s="22">
        <f>Données_Planning!F412</f>
        <v>0</v>
      </c>
      <c r="K414" s="22">
        <f>Données_Planning!E412</f>
        <v>0</v>
      </c>
      <c r="L414" s="35">
        <f>Données_Planning!G412</f>
        <v>0</v>
      </c>
      <c r="M414" s="37">
        <f>(IF(OR(A414="DWF",A414="DNF"),0,QUOTIENT(Données_Planning!J412,60)))</f>
        <v>0</v>
      </c>
      <c r="N414" s="7" t="str">
        <f t="shared" si="57"/>
        <v>min</v>
      </c>
      <c r="O414" s="36">
        <f>(IF(OR(A414="DWF",A414="DNF"),Données_Planning!J412,MOD(Données_Planning!J412,60)))</f>
        <v>0</v>
      </c>
      <c r="P414" s="28" t="str">
        <f t="shared" si="58"/>
        <v>s</v>
      </c>
      <c r="Q414" s="37">
        <f>(IF(OR(A414="DWF",A414="DNF"),0,QUOTIENT(Données_Planning!I412,60)))</f>
        <v>0</v>
      </c>
      <c r="R414" s="7" t="str">
        <f t="shared" si="59"/>
        <v>min</v>
      </c>
      <c r="S414" s="36">
        <f>(IF(OR(A414="DWF",A414="DNF"),Données_Planning!I412,MOD(Données_Planning!I412,60)))</f>
        <v>0</v>
      </c>
      <c r="T414" s="28" t="str">
        <f t="shared" si="60"/>
        <v>s</v>
      </c>
      <c r="U414" s="37">
        <f>(IF(OR(A414="DWF",A414="DNF"),0,QUOTIENT(Données_Planning!K412,60)))</f>
        <v>0</v>
      </c>
      <c r="V414" s="7" t="str">
        <f t="shared" si="61"/>
        <v>min</v>
      </c>
      <c r="W414" s="36">
        <f>(IF(OR(A414="DWF",A414="DNF"),Données_Planning!K412,MOD(Données_Planning!K412,60)))</f>
        <v>0</v>
      </c>
      <c r="X414" s="38" t="str">
        <f t="shared" si="62"/>
        <v>s</v>
      </c>
      <c r="Y414" s="42"/>
    </row>
    <row r="415" spans="1:25" ht="15.75" x14ac:dyDescent="0.25">
      <c r="A415" s="4">
        <f>Données_Planning!A413</f>
        <v>0</v>
      </c>
      <c r="B415" s="6">
        <f>Données_Planning!B413</f>
        <v>0</v>
      </c>
      <c r="C415" s="28">
        <f>Données_Planning!C413</f>
        <v>0</v>
      </c>
      <c r="D415" s="50">
        <f t="shared" si="54"/>
        <v>0</v>
      </c>
      <c r="E415" s="51">
        <f t="shared" si="55"/>
        <v>0</v>
      </c>
      <c r="F415" s="52">
        <f t="shared" si="56"/>
        <v>0</v>
      </c>
      <c r="G415" s="47">
        <f>Données_Planning!L413</f>
        <v>0</v>
      </c>
      <c r="H415" s="18">
        <f>Données_Planning!H413</f>
        <v>0</v>
      </c>
      <c r="I415" s="5">
        <f>Données_Planning!D413</f>
        <v>0</v>
      </c>
      <c r="J415" s="22">
        <f>Données_Planning!F413</f>
        <v>0</v>
      </c>
      <c r="K415" s="22">
        <f>Données_Planning!E413</f>
        <v>0</v>
      </c>
      <c r="L415" s="35">
        <f>Données_Planning!G413</f>
        <v>0</v>
      </c>
      <c r="M415" s="37">
        <f>(IF(OR(A415="DWF",A415="DNF"),0,QUOTIENT(Données_Planning!J413,60)))</f>
        <v>0</v>
      </c>
      <c r="N415" s="7" t="str">
        <f t="shared" si="57"/>
        <v>min</v>
      </c>
      <c r="O415" s="36">
        <f>(IF(OR(A415="DWF",A415="DNF"),Données_Planning!J413,MOD(Données_Planning!J413,60)))</f>
        <v>0</v>
      </c>
      <c r="P415" s="28" t="str">
        <f t="shared" si="58"/>
        <v>s</v>
      </c>
      <c r="Q415" s="37">
        <f>(IF(OR(A415="DWF",A415="DNF"),0,QUOTIENT(Données_Planning!I413,60)))</f>
        <v>0</v>
      </c>
      <c r="R415" s="7" t="str">
        <f t="shared" si="59"/>
        <v>min</v>
      </c>
      <c r="S415" s="36">
        <f>(IF(OR(A415="DWF",A415="DNF"),Données_Planning!I413,MOD(Données_Planning!I413,60)))</f>
        <v>0</v>
      </c>
      <c r="T415" s="28" t="str">
        <f t="shared" si="60"/>
        <v>s</v>
      </c>
      <c r="U415" s="37">
        <f>(IF(OR(A415="DWF",A415="DNF"),0,QUOTIENT(Données_Planning!K413,60)))</f>
        <v>0</v>
      </c>
      <c r="V415" s="7" t="str">
        <f t="shared" si="61"/>
        <v>min</v>
      </c>
      <c r="W415" s="36">
        <f>(IF(OR(A415="DWF",A415="DNF"),Données_Planning!K413,MOD(Données_Planning!K413,60)))</f>
        <v>0</v>
      </c>
      <c r="X415" s="38" t="str">
        <f t="shared" si="62"/>
        <v>s</v>
      </c>
      <c r="Y415" s="42"/>
    </row>
    <row r="416" spans="1:25" ht="15.75" x14ac:dyDescent="0.25">
      <c r="A416" s="4">
        <f>Données_Planning!A414</f>
        <v>0</v>
      </c>
      <c r="B416" s="6">
        <f>Données_Planning!B414</f>
        <v>0</v>
      </c>
      <c r="C416" s="28">
        <f>Données_Planning!C414</f>
        <v>0</v>
      </c>
      <c r="D416" s="50">
        <f t="shared" si="54"/>
        <v>0</v>
      </c>
      <c r="E416" s="51">
        <f t="shared" si="55"/>
        <v>0</v>
      </c>
      <c r="F416" s="52">
        <f t="shared" si="56"/>
        <v>0</v>
      </c>
      <c r="G416" s="47">
        <f>Données_Planning!L414</f>
        <v>0</v>
      </c>
      <c r="H416" s="18">
        <f>Données_Planning!H414</f>
        <v>0</v>
      </c>
      <c r="I416" s="5">
        <f>Données_Planning!D414</f>
        <v>0</v>
      </c>
      <c r="J416" s="22">
        <f>Données_Planning!F414</f>
        <v>0</v>
      </c>
      <c r="K416" s="22">
        <f>Données_Planning!E414</f>
        <v>0</v>
      </c>
      <c r="L416" s="35">
        <f>Données_Planning!G414</f>
        <v>0</v>
      </c>
      <c r="M416" s="37">
        <f>(IF(OR(A416="DWF",A416="DNF"),0,QUOTIENT(Données_Planning!J414,60)))</f>
        <v>0</v>
      </c>
      <c r="N416" s="7" t="str">
        <f t="shared" si="57"/>
        <v>min</v>
      </c>
      <c r="O416" s="36">
        <f>(IF(OR(A416="DWF",A416="DNF"),Données_Planning!J414,MOD(Données_Planning!J414,60)))</f>
        <v>0</v>
      </c>
      <c r="P416" s="28" t="str">
        <f t="shared" si="58"/>
        <v>s</v>
      </c>
      <c r="Q416" s="37">
        <f>(IF(OR(A416="DWF",A416="DNF"),0,QUOTIENT(Données_Planning!I414,60)))</f>
        <v>0</v>
      </c>
      <c r="R416" s="7" t="str">
        <f t="shared" si="59"/>
        <v>min</v>
      </c>
      <c r="S416" s="36">
        <f>(IF(OR(A416="DWF",A416="DNF"),Données_Planning!I414,MOD(Données_Planning!I414,60)))</f>
        <v>0</v>
      </c>
      <c r="T416" s="28" t="str">
        <f t="shared" si="60"/>
        <v>s</v>
      </c>
      <c r="U416" s="37">
        <f>(IF(OR(A416="DWF",A416="DNF"),0,QUOTIENT(Données_Planning!K414,60)))</f>
        <v>0</v>
      </c>
      <c r="V416" s="7" t="str">
        <f t="shared" si="61"/>
        <v>min</v>
      </c>
      <c r="W416" s="36">
        <f>(IF(OR(A416="DWF",A416="DNF"),Données_Planning!K414,MOD(Données_Planning!K414,60)))</f>
        <v>0</v>
      </c>
      <c r="X416" s="38" t="str">
        <f t="shared" si="62"/>
        <v>s</v>
      </c>
      <c r="Y416" s="42"/>
    </row>
    <row r="417" spans="1:25" ht="15.75" x14ac:dyDescent="0.25">
      <c r="A417" s="4">
        <f>Données_Planning!A415</f>
        <v>0</v>
      </c>
      <c r="B417" s="6">
        <f>Données_Planning!B415</f>
        <v>0</v>
      </c>
      <c r="C417" s="28">
        <f>Données_Planning!C415</f>
        <v>0</v>
      </c>
      <c r="D417" s="50">
        <f t="shared" si="54"/>
        <v>0</v>
      </c>
      <c r="E417" s="51">
        <f t="shared" si="55"/>
        <v>0</v>
      </c>
      <c r="F417" s="52">
        <f t="shared" si="56"/>
        <v>0</v>
      </c>
      <c r="G417" s="47">
        <f>Données_Planning!L415</f>
        <v>0</v>
      </c>
      <c r="H417" s="18">
        <f>Données_Planning!H415</f>
        <v>0</v>
      </c>
      <c r="I417" s="5">
        <f>Données_Planning!D415</f>
        <v>0</v>
      </c>
      <c r="J417" s="22">
        <f>Données_Planning!F415</f>
        <v>0</v>
      </c>
      <c r="K417" s="22">
        <f>Données_Planning!E415</f>
        <v>0</v>
      </c>
      <c r="L417" s="35">
        <f>Données_Planning!G415</f>
        <v>0</v>
      </c>
      <c r="M417" s="37">
        <f>(IF(OR(A417="DWF",A417="DNF"),0,QUOTIENT(Données_Planning!J415,60)))</f>
        <v>0</v>
      </c>
      <c r="N417" s="7" t="str">
        <f t="shared" si="57"/>
        <v>min</v>
      </c>
      <c r="O417" s="36">
        <f>(IF(OR(A417="DWF",A417="DNF"),Données_Planning!J415,MOD(Données_Planning!J415,60)))</f>
        <v>0</v>
      </c>
      <c r="P417" s="28" t="str">
        <f t="shared" si="58"/>
        <v>s</v>
      </c>
      <c r="Q417" s="37">
        <f>(IF(OR(A417="DWF",A417="DNF"),0,QUOTIENT(Données_Planning!I415,60)))</f>
        <v>0</v>
      </c>
      <c r="R417" s="7" t="str">
        <f t="shared" si="59"/>
        <v>min</v>
      </c>
      <c r="S417" s="36">
        <f>(IF(OR(A417="DWF",A417="DNF"),Données_Planning!I415,MOD(Données_Planning!I415,60)))</f>
        <v>0</v>
      </c>
      <c r="T417" s="28" t="str">
        <f t="shared" si="60"/>
        <v>s</v>
      </c>
      <c r="U417" s="37">
        <f>(IF(OR(A417="DWF",A417="DNF"),0,QUOTIENT(Données_Planning!K415,60)))</f>
        <v>0</v>
      </c>
      <c r="V417" s="7" t="str">
        <f t="shared" si="61"/>
        <v>min</v>
      </c>
      <c r="W417" s="36">
        <f>(IF(OR(A417="DWF",A417="DNF"),Données_Planning!K415,MOD(Données_Planning!K415,60)))</f>
        <v>0</v>
      </c>
      <c r="X417" s="38" t="str">
        <f t="shared" si="62"/>
        <v>s</v>
      </c>
      <c r="Y417" s="42"/>
    </row>
    <row r="418" spans="1:25" ht="15.75" x14ac:dyDescent="0.25">
      <c r="A418" s="4">
        <f>Données_Planning!A416</f>
        <v>0</v>
      </c>
      <c r="B418" s="6">
        <f>Données_Planning!B416</f>
        <v>0</v>
      </c>
      <c r="C418" s="28">
        <f>Données_Planning!C416</f>
        <v>0</v>
      </c>
      <c r="D418" s="50">
        <f t="shared" si="54"/>
        <v>0</v>
      </c>
      <c r="E418" s="51">
        <f t="shared" si="55"/>
        <v>0</v>
      </c>
      <c r="F418" s="52">
        <f t="shared" si="56"/>
        <v>0</v>
      </c>
      <c r="G418" s="47">
        <f>Données_Planning!L416</f>
        <v>0</v>
      </c>
      <c r="H418" s="18">
        <f>Données_Planning!H416</f>
        <v>0</v>
      </c>
      <c r="I418" s="5">
        <f>Données_Planning!D416</f>
        <v>0</v>
      </c>
      <c r="J418" s="22">
        <f>Données_Planning!F416</f>
        <v>0</v>
      </c>
      <c r="K418" s="22">
        <f>Données_Planning!E416</f>
        <v>0</v>
      </c>
      <c r="L418" s="35">
        <f>Données_Planning!G416</f>
        <v>0</v>
      </c>
      <c r="M418" s="37">
        <f>(IF(OR(A418="DWF",A418="DNF"),0,QUOTIENT(Données_Planning!J416,60)))</f>
        <v>0</v>
      </c>
      <c r="N418" s="7" t="str">
        <f t="shared" si="57"/>
        <v>min</v>
      </c>
      <c r="O418" s="36">
        <f>(IF(OR(A418="DWF",A418="DNF"),Données_Planning!J416,MOD(Données_Planning!J416,60)))</f>
        <v>0</v>
      </c>
      <c r="P418" s="28" t="str">
        <f t="shared" si="58"/>
        <v>s</v>
      </c>
      <c r="Q418" s="37">
        <f>(IF(OR(A418="DWF",A418="DNF"),0,QUOTIENT(Données_Planning!I416,60)))</f>
        <v>0</v>
      </c>
      <c r="R418" s="7" t="str">
        <f t="shared" si="59"/>
        <v>min</v>
      </c>
      <c r="S418" s="36">
        <f>(IF(OR(A418="DWF",A418="DNF"),Données_Planning!I416,MOD(Données_Planning!I416,60)))</f>
        <v>0</v>
      </c>
      <c r="T418" s="28" t="str">
        <f t="shared" si="60"/>
        <v>s</v>
      </c>
      <c r="U418" s="37">
        <f>(IF(OR(A418="DWF",A418="DNF"),0,QUOTIENT(Données_Planning!K416,60)))</f>
        <v>0</v>
      </c>
      <c r="V418" s="7" t="str">
        <f t="shared" si="61"/>
        <v>min</v>
      </c>
      <c r="W418" s="36">
        <f>(IF(OR(A418="DWF",A418="DNF"),Données_Planning!K416,MOD(Données_Planning!K416,60)))</f>
        <v>0</v>
      </c>
      <c r="X418" s="38" t="str">
        <f t="shared" si="62"/>
        <v>s</v>
      </c>
      <c r="Y418" s="42"/>
    </row>
    <row r="419" spans="1:25" ht="15.75" x14ac:dyDescent="0.25">
      <c r="A419" s="4">
        <f>Données_Planning!A417</f>
        <v>0</v>
      </c>
      <c r="B419" s="6">
        <f>Données_Planning!B417</f>
        <v>0</v>
      </c>
      <c r="C419" s="28">
        <f>Données_Planning!C417</f>
        <v>0</v>
      </c>
      <c r="D419" s="50">
        <f t="shared" si="54"/>
        <v>0</v>
      </c>
      <c r="E419" s="51">
        <f t="shared" si="55"/>
        <v>0</v>
      </c>
      <c r="F419" s="52">
        <f t="shared" si="56"/>
        <v>0</v>
      </c>
      <c r="G419" s="47">
        <f>Données_Planning!L417</f>
        <v>0</v>
      </c>
      <c r="H419" s="18">
        <f>Données_Planning!H417</f>
        <v>0</v>
      </c>
      <c r="I419" s="5">
        <f>Données_Planning!D417</f>
        <v>0</v>
      </c>
      <c r="J419" s="22">
        <f>Données_Planning!F417</f>
        <v>0</v>
      </c>
      <c r="K419" s="22">
        <f>Données_Planning!E417</f>
        <v>0</v>
      </c>
      <c r="L419" s="35">
        <f>Données_Planning!G417</f>
        <v>0</v>
      </c>
      <c r="M419" s="37">
        <f>(IF(OR(A419="DWF",A419="DNF"),0,QUOTIENT(Données_Planning!J417,60)))</f>
        <v>0</v>
      </c>
      <c r="N419" s="7" t="str">
        <f t="shared" si="57"/>
        <v>min</v>
      </c>
      <c r="O419" s="36">
        <f>(IF(OR(A419="DWF",A419="DNF"),Données_Planning!J417,MOD(Données_Planning!J417,60)))</f>
        <v>0</v>
      </c>
      <c r="P419" s="28" t="str">
        <f t="shared" si="58"/>
        <v>s</v>
      </c>
      <c r="Q419" s="37">
        <f>(IF(OR(A419="DWF",A419="DNF"),0,QUOTIENT(Données_Planning!I417,60)))</f>
        <v>0</v>
      </c>
      <c r="R419" s="7" t="str">
        <f t="shared" si="59"/>
        <v>min</v>
      </c>
      <c r="S419" s="36">
        <f>(IF(OR(A419="DWF",A419="DNF"),Données_Planning!I417,MOD(Données_Planning!I417,60)))</f>
        <v>0</v>
      </c>
      <c r="T419" s="28" t="str">
        <f t="shared" si="60"/>
        <v>s</v>
      </c>
      <c r="U419" s="37">
        <f>(IF(OR(A419="DWF",A419="DNF"),0,QUOTIENT(Données_Planning!K417,60)))</f>
        <v>0</v>
      </c>
      <c r="V419" s="7" t="str">
        <f t="shared" si="61"/>
        <v>min</v>
      </c>
      <c r="W419" s="36">
        <f>(IF(OR(A419="DWF",A419="DNF"),Données_Planning!K417,MOD(Données_Planning!K417,60)))</f>
        <v>0</v>
      </c>
      <c r="X419" s="38" t="str">
        <f t="shared" si="62"/>
        <v>s</v>
      </c>
      <c r="Y419" s="42"/>
    </row>
    <row r="420" spans="1:25" ht="15.75" x14ac:dyDescent="0.25">
      <c r="A420" s="4">
        <f>Données_Planning!A418</f>
        <v>0</v>
      </c>
      <c r="B420" s="6">
        <f>Données_Planning!B418</f>
        <v>0</v>
      </c>
      <c r="C420" s="28">
        <f>Données_Planning!C418</f>
        <v>0</v>
      </c>
      <c r="D420" s="50">
        <f t="shared" si="54"/>
        <v>0</v>
      </c>
      <c r="E420" s="51">
        <f t="shared" si="55"/>
        <v>0</v>
      </c>
      <c r="F420" s="52">
        <f t="shared" si="56"/>
        <v>0</v>
      </c>
      <c r="G420" s="47">
        <f>Données_Planning!L418</f>
        <v>0</v>
      </c>
      <c r="H420" s="18">
        <f>Données_Planning!H418</f>
        <v>0</v>
      </c>
      <c r="I420" s="5">
        <f>Données_Planning!D418</f>
        <v>0</v>
      </c>
      <c r="J420" s="22">
        <f>Données_Planning!F418</f>
        <v>0</v>
      </c>
      <c r="K420" s="22">
        <f>Données_Planning!E418</f>
        <v>0</v>
      </c>
      <c r="L420" s="35">
        <f>Données_Planning!G418</f>
        <v>0</v>
      </c>
      <c r="M420" s="37">
        <f>(IF(OR(A420="DWF",A420="DNF"),0,QUOTIENT(Données_Planning!J418,60)))</f>
        <v>0</v>
      </c>
      <c r="N420" s="7" t="str">
        <f t="shared" si="57"/>
        <v>min</v>
      </c>
      <c r="O420" s="36">
        <f>(IF(OR(A420="DWF",A420="DNF"),Données_Planning!J418,MOD(Données_Planning!J418,60)))</f>
        <v>0</v>
      </c>
      <c r="P420" s="28" t="str">
        <f t="shared" si="58"/>
        <v>s</v>
      </c>
      <c r="Q420" s="37">
        <f>(IF(OR(A420="DWF",A420="DNF"),0,QUOTIENT(Données_Planning!I418,60)))</f>
        <v>0</v>
      </c>
      <c r="R420" s="7" t="str">
        <f t="shared" si="59"/>
        <v>min</v>
      </c>
      <c r="S420" s="36">
        <f>(IF(OR(A420="DWF",A420="DNF"),Données_Planning!I418,MOD(Données_Planning!I418,60)))</f>
        <v>0</v>
      </c>
      <c r="T420" s="28" t="str">
        <f t="shared" si="60"/>
        <v>s</v>
      </c>
      <c r="U420" s="37">
        <f>(IF(OR(A420="DWF",A420="DNF"),0,QUOTIENT(Données_Planning!K418,60)))</f>
        <v>0</v>
      </c>
      <c r="V420" s="7" t="str">
        <f t="shared" si="61"/>
        <v>min</v>
      </c>
      <c r="W420" s="36">
        <f>(IF(OR(A420="DWF",A420="DNF"),Données_Planning!K418,MOD(Données_Planning!K418,60)))</f>
        <v>0</v>
      </c>
      <c r="X420" s="38" t="str">
        <f t="shared" si="62"/>
        <v>s</v>
      </c>
      <c r="Y420" s="42"/>
    </row>
    <row r="421" spans="1:25" ht="15.75" x14ac:dyDescent="0.25">
      <c r="A421" s="4">
        <f>Données_Planning!A419</f>
        <v>0</v>
      </c>
      <c r="B421" s="6">
        <f>Données_Planning!B419</f>
        <v>0</v>
      </c>
      <c r="C421" s="28">
        <f>Données_Planning!C419</f>
        <v>0</v>
      </c>
      <c r="D421" s="50">
        <f t="shared" si="54"/>
        <v>0</v>
      </c>
      <c r="E421" s="51">
        <f t="shared" si="55"/>
        <v>0</v>
      </c>
      <c r="F421" s="52">
        <f t="shared" si="56"/>
        <v>0</v>
      </c>
      <c r="G421" s="47">
        <f>Données_Planning!L419</f>
        <v>0</v>
      </c>
      <c r="H421" s="18">
        <f>Données_Planning!H419</f>
        <v>0</v>
      </c>
      <c r="I421" s="5">
        <f>Données_Planning!D419</f>
        <v>0</v>
      </c>
      <c r="J421" s="22">
        <f>Données_Planning!F419</f>
        <v>0</v>
      </c>
      <c r="K421" s="22">
        <f>Données_Planning!E419</f>
        <v>0</v>
      </c>
      <c r="L421" s="35">
        <f>Données_Planning!G419</f>
        <v>0</v>
      </c>
      <c r="M421" s="37">
        <f>(IF(OR(A421="DWF",A421="DNF"),0,QUOTIENT(Données_Planning!J419,60)))</f>
        <v>0</v>
      </c>
      <c r="N421" s="7" t="str">
        <f t="shared" si="57"/>
        <v>min</v>
      </c>
      <c r="O421" s="36">
        <f>(IF(OR(A421="DWF",A421="DNF"),Données_Planning!J419,MOD(Données_Planning!J419,60)))</f>
        <v>0</v>
      </c>
      <c r="P421" s="28" t="str">
        <f t="shared" si="58"/>
        <v>s</v>
      </c>
      <c r="Q421" s="37">
        <f>(IF(OR(A421="DWF",A421="DNF"),0,QUOTIENT(Données_Planning!I419,60)))</f>
        <v>0</v>
      </c>
      <c r="R421" s="7" t="str">
        <f t="shared" si="59"/>
        <v>min</v>
      </c>
      <c r="S421" s="36">
        <f>(IF(OR(A421="DWF",A421="DNF"),Données_Planning!I419,MOD(Données_Planning!I419,60)))</f>
        <v>0</v>
      </c>
      <c r="T421" s="28" t="str">
        <f t="shared" si="60"/>
        <v>s</v>
      </c>
      <c r="U421" s="37">
        <f>(IF(OR(A421="DWF",A421="DNF"),0,QUOTIENT(Données_Planning!K419,60)))</f>
        <v>0</v>
      </c>
      <c r="V421" s="7" t="str">
        <f t="shared" si="61"/>
        <v>min</v>
      </c>
      <c r="W421" s="36">
        <f>(IF(OR(A421="DWF",A421="DNF"),Données_Planning!K419,MOD(Données_Planning!K419,60)))</f>
        <v>0</v>
      </c>
      <c r="X421" s="38" t="str">
        <f t="shared" si="62"/>
        <v>s</v>
      </c>
      <c r="Y421" s="42"/>
    </row>
    <row r="422" spans="1:25" ht="15.75" x14ac:dyDescent="0.25">
      <c r="A422" s="4">
        <f>Données_Planning!A420</f>
        <v>0</v>
      </c>
      <c r="B422" s="6">
        <f>Données_Planning!B420</f>
        <v>0</v>
      </c>
      <c r="C422" s="28">
        <f>Données_Planning!C420</f>
        <v>0</v>
      </c>
      <c r="D422" s="50">
        <f t="shared" si="54"/>
        <v>0</v>
      </c>
      <c r="E422" s="51">
        <f t="shared" si="55"/>
        <v>0</v>
      </c>
      <c r="F422" s="52">
        <f t="shared" si="56"/>
        <v>0</v>
      </c>
      <c r="G422" s="47">
        <f>Données_Planning!L420</f>
        <v>0</v>
      </c>
      <c r="H422" s="18">
        <f>Données_Planning!H420</f>
        <v>0</v>
      </c>
      <c r="I422" s="5">
        <f>Données_Planning!D420</f>
        <v>0</v>
      </c>
      <c r="J422" s="22">
        <f>Données_Planning!F420</f>
        <v>0</v>
      </c>
      <c r="K422" s="22">
        <f>Données_Planning!E420</f>
        <v>0</v>
      </c>
      <c r="L422" s="35">
        <f>Données_Planning!G420</f>
        <v>0</v>
      </c>
      <c r="M422" s="37">
        <f>(IF(OR(A422="DWF",A422="DNF"),0,QUOTIENT(Données_Planning!J420,60)))</f>
        <v>0</v>
      </c>
      <c r="N422" s="7" t="str">
        <f t="shared" si="57"/>
        <v>min</v>
      </c>
      <c r="O422" s="36">
        <f>(IF(OR(A422="DWF",A422="DNF"),Données_Planning!J420,MOD(Données_Planning!J420,60)))</f>
        <v>0</v>
      </c>
      <c r="P422" s="28" t="str">
        <f t="shared" si="58"/>
        <v>s</v>
      </c>
      <c r="Q422" s="37">
        <f>(IF(OR(A422="DWF",A422="DNF"),0,QUOTIENT(Données_Planning!I420,60)))</f>
        <v>0</v>
      </c>
      <c r="R422" s="7" t="str">
        <f t="shared" si="59"/>
        <v>min</v>
      </c>
      <c r="S422" s="36">
        <f>(IF(OR(A422="DWF",A422="DNF"),Données_Planning!I420,MOD(Données_Planning!I420,60)))</f>
        <v>0</v>
      </c>
      <c r="T422" s="28" t="str">
        <f t="shared" si="60"/>
        <v>s</v>
      </c>
      <c r="U422" s="37">
        <f>(IF(OR(A422="DWF",A422="DNF"),0,QUOTIENT(Données_Planning!K420,60)))</f>
        <v>0</v>
      </c>
      <c r="V422" s="7" t="str">
        <f t="shared" si="61"/>
        <v>min</v>
      </c>
      <c r="W422" s="36">
        <f>(IF(OR(A422="DWF",A422="DNF"),Données_Planning!K420,MOD(Données_Planning!K420,60)))</f>
        <v>0</v>
      </c>
      <c r="X422" s="38" t="str">
        <f t="shared" si="62"/>
        <v>s</v>
      </c>
      <c r="Y422" s="42"/>
    </row>
    <row r="423" spans="1:25" ht="15.75" x14ac:dyDescent="0.25">
      <c r="A423" s="4">
        <f>Données_Planning!A421</f>
        <v>0</v>
      </c>
      <c r="B423" s="6">
        <f>Données_Planning!B421</f>
        <v>0</v>
      </c>
      <c r="C423" s="28">
        <f>Données_Planning!C421</f>
        <v>0</v>
      </c>
      <c r="D423" s="50">
        <f t="shared" si="54"/>
        <v>0</v>
      </c>
      <c r="E423" s="51">
        <f t="shared" si="55"/>
        <v>0</v>
      </c>
      <c r="F423" s="52">
        <f t="shared" si="56"/>
        <v>0</v>
      </c>
      <c r="G423" s="47">
        <f>Données_Planning!L421</f>
        <v>0</v>
      </c>
      <c r="H423" s="18">
        <f>Données_Planning!H421</f>
        <v>0</v>
      </c>
      <c r="I423" s="5">
        <f>Données_Planning!D421</f>
        <v>0</v>
      </c>
      <c r="J423" s="22">
        <f>Données_Planning!F421</f>
        <v>0</v>
      </c>
      <c r="K423" s="22">
        <f>Données_Planning!E421</f>
        <v>0</v>
      </c>
      <c r="L423" s="35">
        <f>Données_Planning!G421</f>
        <v>0</v>
      </c>
      <c r="M423" s="37">
        <f>(IF(OR(A423="DWF",A423="DNF"),0,QUOTIENT(Données_Planning!J421,60)))</f>
        <v>0</v>
      </c>
      <c r="N423" s="7" t="str">
        <f t="shared" si="57"/>
        <v>min</v>
      </c>
      <c r="O423" s="36">
        <f>(IF(OR(A423="DWF",A423="DNF"),Données_Planning!J421,MOD(Données_Planning!J421,60)))</f>
        <v>0</v>
      </c>
      <c r="P423" s="28" t="str">
        <f t="shared" si="58"/>
        <v>s</v>
      </c>
      <c r="Q423" s="37">
        <f>(IF(OR(A423="DWF",A423="DNF"),0,QUOTIENT(Données_Planning!I421,60)))</f>
        <v>0</v>
      </c>
      <c r="R423" s="7" t="str">
        <f t="shared" si="59"/>
        <v>min</v>
      </c>
      <c r="S423" s="36">
        <f>(IF(OR(A423="DWF",A423="DNF"),Données_Planning!I421,MOD(Données_Planning!I421,60)))</f>
        <v>0</v>
      </c>
      <c r="T423" s="28" t="str">
        <f t="shared" si="60"/>
        <v>s</v>
      </c>
      <c r="U423" s="37">
        <f>(IF(OR(A423="DWF",A423="DNF"),0,QUOTIENT(Données_Planning!K421,60)))</f>
        <v>0</v>
      </c>
      <c r="V423" s="7" t="str">
        <f t="shared" si="61"/>
        <v>min</v>
      </c>
      <c r="W423" s="36">
        <f>(IF(OR(A423="DWF",A423="DNF"),Données_Planning!K421,MOD(Données_Planning!K421,60)))</f>
        <v>0</v>
      </c>
      <c r="X423" s="38" t="str">
        <f t="shared" si="62"/>
        <v>s</v>
      </c>
      <c r="Y423" s="42"/>
    </row>
    <row r="424" spans="1:25" ht="15.75" x14ac:dyDescent="0.25">
      <c r="A424" s="4">
        <f>Données_Planning!A422</f>
        <v>0</v>
      </c>
      <c r="B424" s="6">
        <f>Données_Planning!B422</f>
        <v>0</v>
      </c>
      <c r="C424" s="28">
        <f>Données_Planning!C422</f>
        <v>0</v>
      </c>
      <c r="D424" s="50">
        <f t="shared" si="54"/>
        <v>0</v>
      </c>
      <c r="E424" s="51">
        <f t="shared" si="55"/>
        <v>0</v>
      </c>
      <c r="F424" s="52">
        <f t="shared" si="56"/>
        <v>0</v>
      </c>
      <c r="G424" s="47">
        <f>Données_Planning!L422</f>
        <v>0</v>
      </c>
      <c r="H424" s="18">
        <f>Données_Planning!H422</f>
        <v>0</v>
      </c>
      <c r="I424" s="5">
        <f>Données_Planning!D422</f>
        <v>0</v>
      </c>
      <c r="J424" s="22">
        <f>Données_Planning!F422</f>
        <v>0</v>
      </c>
      <c r="K424" s="22">
        <f>Données_Planning!E422</f>
        <v>0</v>
      </c>
      <c r="L424" s="35">
        <f>Données_Planning!G422</f>
        <v>0</v>
      </c>
      <c r="M424" s="37">
        <f>(IF(OR(A424="DWF",A424="DNF"),0,QUOTIENT(Données_Planning!J422,60)))</f>
        <v>0</v>
      </c>
      <c r="N424" s="7" t="str">
        <f t="shared" si="57"/>
        <v>min</v>
      </c>
      <c r="O424" s="36">
        <f>(IF(OR(A424="DWF",A424="DNF"),Données_Planning!J422,MOD(Données_Planning!J422,60)))</f>
        <v>0</v>
      </c>
      <c r="P424" s="28" t="str">
        <f t="shared" si="58"/>
        <v>s</v>
      </c>
      <c r="Q424" s="37">
        <f>(IF(OR(A424="DWF",A424="DNF"),0,QUOTIENT(Données_Planning!I422,60)))</f>
        <v>0</v>
      </c>
      <c r="R424" s="7" t="str">
        <f t="shared" si="59"/>
        <v>min</v>
      </c>
      <c r="S424" s="36">
        <f>(IF(OR(A424="DWF",A424="DNF"),Données_Planning!I422,MOD(Données_Planning!I422,60)))</f>
        <v>0</v>
      </c>
      <c r="T424" s="28" t="str">
        <f t="shared" si="60"/>
        <v>s</v>
      </c>
      <c r="U424" s="37">
        <f>(IF(OR(A424="DWF",A424="DNF"),0,QUOTIENT(Données_Planning!K422,60)))</f>
        <v>0</v>
      </c>
      <c r="V424" s="7" t="str">
        <f t="shared" si="61"/>
        <v>min</v>
      </c>
      <c r="W424" s="36">
        <f>(IF(OR(A424="DWF",A424="DNF"),Données_Planning!K422,MOD(Données_Planning!K422,60)))</f>
        <v>0</v>
      </c>
      <c r="X424" s="38" t="str">
        <f t="shared" si="62"/>
        <v>s</v>
      </c>
      <c r="Y424" s="42"/>
    </row>
    <row r="425" spans="1:25" ht="15.75" x14ac:dyDescent="0.25">
      <c r="A425" s="4">
        <f>Données_Planning!A423</f>
        <v>0</v>
      </c>
      <c r="B425" s="6">
        <f>Données_Planning!B423</f>
        <v>0</v>
      </c>
      <c r="C425" s="28">
        <f>Données_Planning!C423</f>
        <v>0</v>
      </c>
      <c r="D425" s="50">
        <f t="shared" si="54"/>
        <v>0</v>
      </c>
      <c r="E425" s="51">
        <f t="shared" si="55"/>
        <v>0</v>
      </c>
      <c r="F425" s="52">
        <f t="shared" si="56"/>
        <v>0</v>
      </c>
      <c r="G425" s="47">
        <f>Données_Planning!L423</f>
        <v>0</v>
      </c>
      <c r="H425" s="18">
        <f>Données_Planning!H423</f>
        <v>0</v>
      </c>
      <c r="I425" s="5">
        <f>Données_Planning!D423</f>
        <v>0</v>
      </c>
      <c r="J425" s="22">
        <f>Données_Planning!F423</f>
        <v>0</v>
      </c>
      <c r="K425" s="22">
        <f>Données_Planning!E423</f>
        <v>0</v>
      </c>
      <c r="L425" s="35">
        <f>Données_Planning!G423</f>
        <v>0</v>
      </c>
      <c r="M425" s="37">
        <f>(IF(OR(A425="DWF",A425="DNF"),0,QUOTIENT(Données_Planning!J423,60)))</f>
        <v>0</v>
      </c>
      <c r="N425" s="7" t="str">
        <f t="shared" si="57"/>
        <v>min</v>
      </c>
      <c r="O425" s="36">
        <f>(IF(OR(A425="DWF",A425="DNF"),Données_Planning!J423,MOD(Données_Planning!J423,60)))</f>
        <v>0</v>
      </c>
      <c r="P425" s="28" t="str">
        <f t="shared" si="58"/>
        <v>s</v>
      </c>
      <c r="Q425" s="37">
        <f>(IF(OR(A425="DWF",A425="DNF"),0,QUOTIENT(Données_Planning!I423,60)))</f>
        <v>0</v>
      </c>
      <c r="R425" s="7" t="str">
        <f t="shared" si="59"/>
        <v>min</v>
      </c>
      <c r="S425" s="36">
        <f>(IF(OR(A425="DWF",A425="DNF"),Données_Planning!I423,MOD(Données_Planning!I423,60)))</f>
        <v>0</v>
      </c>
      <c r="T425" s="28" t="str">
        <f t="shared" si="60"/>
        <v>s</v>
      </c>
      <c r="U425" s="37">
        <f>(IF(OR(A425="DWF",A425="DNF"),0,QUOTIENT(Données_Planning!K423,60)))</f>
        <v>0</v>
      </c>
      <c r="V425" s="7" t="str">
        <f t="shared" si="61"/>
        <v>min</v>
      </c>
      <c r="W425" s="36">
        <f>(IF(OR(A425="DWF",A425="DNF"),Données_Planning!K423,MOD(Données_Planning!K423,60)))</f>
        <v>0</v>
      </c>
      <c r="X425" s="38" t="str">
        <f t="shared" si="62"/>
        <v>s</v>
      </c>
      <c r="Y425" s="42"/>
    </row>
    <row r="426" spans="1:25" ht="15.75" x14ac:dyDescent="0.25">
      <c r="A426" s="4">
        <f>Données_Planning!A424</f>
        <v>0</v>
      </c>
      <c r="B426" s="6">
        <f>Données_Planning!B424</f>
        <v>0</v>
      </c>
      <c r="C426" s="28">
        <f>Données_Planning!C424</f>
        <v>0</v>
      </c>
      <c r="D426" s="50">
        <f t="shared" si="54"/>
        <v>0</v>
      </c>
      <c r="E426" s="51">
        <f t="shared" si="55"/>
        <v>0</v>
      </c>
      <c r="F426" s="52">
        <f t="shared" si="56"/>
        <v>0</v>
      </c>
      <c r="G426" s="47">
        <f>Données_Planning!L424</f>
        <v>0</v>
      </c>
      <c r="H426" s="18">
        <f>Données_Planning!H424</f>
        <v>0</v>
      </c>
      <c r="I426" s="5">
        <f>Données_Planning!D424</f>
        <v>0</v>
      </c>
      <c r="J426" s="22">
        <f>Données_Planning!F424</f>
        <v>0</v>
      </c>
      <c r="K426" s="22">
        <f>Données_Planning!E424</f>
        <v>0</v>
      </c>
      <c r="L426" s="35">
        <f>Données_Planning!G424</f>
        <v>0</v>
      </c>
      <c r="M426" s="37">
        <f>(IF(OR(A426="DWF",A426="DNF"),0,QUOTIENT(Données_Planning!J424,60)))</f>
        <v>0</v>
      </c>
      <c r="N426" s="7" t="str">
        <f t="shared" si="57"/>
        <v>min</v>
      </c>
      <c r="O426" s="36">
        <f>(IF(OR(A426="DWF",A426="DNF"),Données_Planning!J424,MOD(Données_Planning!J424,60)))</f>
        <v>0</v>
      </c>
      <c r="P426" s="28" t="str">
        <f t="shared" si="58"/>
        <v>s</v>
      </c>
      <c r="Q426" s="37">
        <f>(IF(OR(A426="DWF",A426="DNF"),0,QUOTIENT(Données_Planning!I424,60)))</f>
        <v>0</v>
      </c>
      <c r="R426" s="7" t="str">
        <f t="shared" si="59"/>
        <v>min</v>
      </c>
      <c r="S426" s="36">
        <f>(IF(OR(A426="DWF",A426="DNF"),Données_Planning!I424,MOD(Données_Planning!I424,60)))</f>
        <v>0</v>
      </c>
      <c r="T426" s="28" t="str">
        <f t="shared" si="60"/>
        <v>s</v>
      </c>
      <c r="U426" s="37">
        <f>(IF(OR(A426="DWF",A426="DNF"),0,QUOTIENT(Données_Planning!K424,60)))</f>
        <v>0</v>
      </c>
      <c r="V426" s="7" t="str">
        <f t="shared" si="61"/>
        <v>min</v>
      </c>
      <c r="W426" s="36">
        <f>(IF(OR(A426="DWF",A426="DNF"),Données_Planning!K424,MOD(Données_Planning!K424,60)))</f>
        <v>0</v>
      </c>
      <c r="X426" s="38" t="str">
        <f t="shared" si="62"/>
        <v>s</v>
      </c>
      <c r="Y426" s="42"/>
    </row>
    <row r="427" spans="1:25" ht="15.75" x14ac:dyDescent="0.25">
      <c r="A427" s="4">
        <f>Données_Planning!A425</f>
        <v>0</v>
      </c>
      <c r="B427" s="6">
        <f>Données_Planning!B425</f>
        <v>0</v>
      </c>
      <c r="C427" s="28">
        <f>Données_Planning!C425</f>
        <v>0</v>
      </c>
      <c r="D427" s="50">
        <f t="shared" si="54"/>
        <v>0</v>
      </c>
      <c r="E427" s="51">
        <f t="shared" si="55"/>
        <v>0</v>
      </c>
      <c r="F427" s="52">
        <f t="shared" si="56"/>
        <v>0</v>
      </c>
      <c r="G427" s="47">
        <f>Données_Planning!L425</f>
        <v>0</v>
      </c>
      <c r="H427" s="18">
        <f>Données_Planning!H425</f>
        <v>0</v>
      </c>
      <c r="I427" s="5">
        <f>Données_Planning!D425</f>
        <v>0</v>
      </c>
      <c r="J427" s="22">
        <f>Données_Planning!F425</f>
        <v>0</v>
      </c>
      <c r="K427" s="22">
        <f>Données_Planning!E425</f>
        <v>0</v>
      </c>
      <c r="L427" s="35">
        <f>Données_Planning!G425</f>
        <v>0</v>
      </c>
      <c r="M427" s="37">
        <f>(IF(OR(A427="DWF",A427="DNF"),0,QUOTIENT(Données_Planning!J425,60)))</f>
        <v>0</v>
      </c>
      <c r="N427" s="7" t="str">
        <f t="shared" si="57"/>
        <v>min</v>
      </c>
      <c r="O427" s="36">
        <f>(IF(OR(A427="DWF",A427="DNF"),Données_Planning!J425,MOD(Données_Planning!J425,60)))</f>
        <v>0</v>
      </c>
      <c r="P427" s="28" t="str">
        <f t="shared" si="58"/>
        <v>s</v>
      </c>
      <c r="Q427" s="37">
        <f>(IF(OR(A427="DWF",A427="DNF"),0,QUOTIENT(Données_Planning!I425,60)))</f>
        <v>0</v>
      </c>
      <c r="R427" s="7" t="str">
        <f t="shared" si="59"/>
        <v>min</v>
      </c>
      <c r="S427" s="36">
        <f>(IF(OR(A427="DWF",A427="DNF"),Données_Planning!I425,MOD(Données_Planning!I425,60)))</f>
        <v>0</v>
      </c>
      <c r="T427" s="28" t="str">
        <f t="shared" si="60"/>
        <v>s</v>
      </c>
      <c r="U427" s="37">
        <f>(IF(OR(A427="DWF",A427="DNF"),0,QUOTIENT(Données_Planning!K425,60)))</f>
        <v>0</v>
      </c>
      <c r="V427" s="7" t="str">
        <f t="shared" si="61"/>
        <v>min</v>
      </c>
      <c r="W427" s="36">
        <f>(IF(OR(A427="DWF",A427="DNF"),Données_Planning!K425,MOD(Données_Planning!K425,60)))</f>
        <v>0</v>
      </c>
      <c r="X427" s="38" t="str">
        <f t="shared" si="62"/>
        <v>s</v>
      </c>
      <c r="Y427" s="42"/>
    </row>
    <row r="428" spans="1:25" ht="15.75" x14ac:dyDescent="0.25">
      <c r="A428" s="4">
        <f>Données_Planning!A426</f>
        <v>0</v>
      </c>
      <c r="B428" s="6">
        <f>Données_Planning!B426</f>
        <v>0</v>
      </c>
      <c r="C428" s="28">
        <f>Données_Planning!C426</f>
        <v>0</v>
      </c>
      <c r="D428" s="50">
        <f t="shared" si="54"/>
        <v>0</v>
      </c>
      <c r="E428" s="51">
        <f t="shared" si="55"/>
        <v>0</v>
      </c>
      <c r="F428" s="52">
        <f t="shared" si="56"/>
        <v>0</v>
      </c>
      <c r="G428" s="47">
        <f>Données_Planning!L426</f>
        <v>0</v>
      </c>
      <c r="H428" s="18">
        <f>Données_Planning!H426</f>
        <v>0</v>
      </c>
      <c r="I428" s="5">
        <f>Données_Planning!D426</f>
        <v>0</v>
      </c>
      <c r="J428" s="22">
        <f>Données_Planning!F426</f>
        <v>0</v>
      </c>
      <c r="K428" s="22">
        <f>Données_Planning!E426</f>
        <v>0</v>
      </c>
      <c r="L428" s="35">
        <f>Données_Planning!G426</f>
        <v>0</v>
      </c>
      <c r="M428" s="37">
        <f>(IF(OR(A428="DWF",A428="DNF"),0,QUOTIENT(Données_Planning!J426,60)))</f>
        <v>0</v>
      </c>
      <c r="N428" s="7" t="str">
        <f t="shared" si="57"/>
        <v>min</v>
      </c>
      <c r="O428" s="36">
        <f>(IF(OR(A428="DWF",A428="DNF"),Données_Planning!J426,MOD(Données_Planning!J426,60)))</f>
        <v>0</v>
      </c>
      <c r="P428" s="28" t="str">
        <f t="shared" si="58"/>
        <v>s</v>
      </c>
      <c r="Q428" s="37">
        <f>(IF(OR(A428="DWF",A428="DNF"),0,QUOTIENT(Données_Planning!I426,60)))</f>
        <v>0</v>
      </c>
      <c r="R428" s="7" t="str">
        <f t="shared" si="59"/>
        <v>min</v>
      </c>
      <c r="S428" s="36">
        <f>(IF(OR(A428="DWF",A428="DNF"),Données_Planning!I426,MOD(Données_Planning!I426,60)))</f>
        <v>0</v>
      </c>
      <c r="T428" s="28" t="str">
        <f t="shared" si="60"/>
        <v>s</v>
      </c>
      <c r="U428" s="37">
        <f>(IF(OR(A428="DWF",A428="DNF"),0,QUOTIENT(Données_Planning!K426,60)))</f>
        <v>0</v>
      </c>
      <c r="V428" s="7" t="str">
        <f t="shared" si="61"/>
        <v>min</v>
      </c>
      <c r="W428" s="36">
        <f>(IF(OR(A428="DWF",A428="DNF"),Données_Planning!K426,MOD(Données_Planning!K426,60)))</f>
        <v>0</v>
      </c>
      <c r="X428" s="38" t="str">
        <f t="shared" si="62"/>
        <v>s</v>
      </c>
      <c r="Y428" s="42"/>
    </row>
    <row r="429" spans="1:25" ht="15.75" x14ac:dyDescent="0.25">
      <c r="A429" s="4">
        <f>Données_Planning!A427</f>
        <v>0</v>
      </c>
      <c r="B429" s="6">
        <f>Données_Planning!B427</f>
        <v>0</v>
      </c>
      <c r="C429" s="28">
        <f>Données_Planning!C427</f>
        <v>0</v>
      </c>
      <c r="D429" s="50">
        <f t="shared" si="54"/>
        <v>0</v>
      </c>
      <c r="E429" s="51">
        <f t="shared" si="55"/>
        <v>0</v>
      </c>
      <c r="F429" s="52">
        <f t="shared" si="56"/>
        <v>0</v>
      </c>
      <c r="G429" s="47">
        <f>Données_Planning!L427</f>
        <v>0</v>
      </c>
      <c r="H429" s="18">
        <f>Données_Planning!H427</f>
        <v>0</v>
      </c>
      <c r="I429" s="5">
        <f>Données_Planning!D427</f>
        <v>0</v>
      </c>
      <c r="J429" s="22">
        <f>Données_Planning!F427</f>
        <v>0</v>
      </c>
      <c r="K429" s="22">
        <f>Données_Planning!E427</f>
        <v>0</v>
      </c>
      <c r="L429" s="35">
        <f>Données_Planning!G427</f>
        <v>0</v>
      </c>
      <c r="M429" s="37">
        <f>(IF(OR(A429="DWF",A429="DNF"),0,QUOTIENT(Données_Planning!J427,60)))</f>
        <v>0</v>
      </c>
      <c r="N429" s="7" t="str">
        <f t="shared" si="57"/>
        <v>min</v>
      </c>
      <c r="O429" s="36">
        <f>(IF(OR(A429="DWF",A429="DNF"),Données_Planning!J427,MOD(Données_Planning!J427,60)))</f>
        <v>0</v>
      </c>
      <c r="P429" s="28" t="str">
        <f t="shared" si="58"/>
        <v>s</v>
      </c>
      <c r="Q429" s="37">
        <f>(IF(OR(A429="DWF",A429="DNF"),0,QUOTIENT(Données_Planning!I427,60)))</f>
        <v>0</v>
      </c>
      <c r="R429" s="7" t="str">
        <f t="shared" si="59"/>
        <v>min</v>
      </c>
      <c r="S429" s="36">
        <f>(IF(OR(A429="DWF",A429="DNF"),Données_Planning!I427,MOD(Données_Planning!I427,60)))</f>
        <v>0</v>
      </c>
      <c r="T429" s="28" t="str">
        <f t="shared" si="60"/>
        <v>s</v>
      </c>
      <c r="U429" s="37">
        <f>(IF(OR(A429="DWF",A429="DNF"),0,QUOTIENT(Données_Planning!K427,60)))</f>
        <v>0</v>
      </c>
      <c r="V429" s="7" t="str">
        <f t="shared" si="61"/>
        <v>min</v>
      </c>
      <c r="W429" s="36">
        <f>(IF(OR(A429="DWF",A429="DNF"),Données_Planning!K427,MOD(Données_Planning!K427,60)))</f>
        <v>0</v>
      </c>
      <c r="X429" s="38" t="str">
        <f t="shared" si="62"/>
        <v>s</v>
      </c>
      <c r="Y429" s="42"/>
    </row>
    <row r="430" spans="1:25" ht="15.75" x14ac:dyDescent="0.25">
      <c r="A430" s="4">
        <f>Données_Planning!A428</f>
        <v>0</v>
      </c>
      <c r="B430" s="6">
        <f>Données_Planning!B428</f>
        <v>0</v>
      </c>
      <c r="C430" s="28">
        <f>Données_Planning!C428</f>
        <v>0</v>
      </c>
      <c r="D430" s="50">
        <f t="shared" si="54"/>
        <v>0</v>
      </c>
      <c r="E430" s="51">
        <f t="shared" si="55"/>
        <v>0</v>
      </c>
      <c r="F430" s="52">
        <f t="shared" si="56"/>
        <v>0</v>
      </c>
      <c r="G430" s="47">
        <f>Données_Planning!L428</f>
        <v>0</v>
      </c>
      <c r="H430" s="18">
        <f>Données_Planning!H428</f>
        <v>0</v>
      </c>
      <c r="I430" s="5">
        <f>Données_Planning!D428</f>
        <v>0</v>
      </c>
      <c r="J430" s="22">
        <f>Données_Planning!F428</f>
        <v>0</v>
      </c>
      <c r="K430" s="22">
        <f>Données_Planning!E428</f>
        <v>0</v>
      </c>
      <c r="L430" s="35">
        <f>Données_Planning!G428</f>
        <v>0</v>
      </c>
      <c r="M430" s="37">
        <f>(IF(OR(A430="DWF",A430="DNF"),0,QUOTIENT(Données_Planning!J428,60)))</f>
        <v>0</v>
      </c>
      <c r="N430" s="7" t="str">
        <f t="shared" si="57"/>
        <v>min</v>
      </c>
      <c r="O430" s="36">
        <f>(IF(OR(A430="DWF",A430="DNF"),Données_Planning!J428,MOD(Données_Planning!J428,60)))</f>
        <v>0</v>
      </c>
      <c r="P430" s="28" t="str">
        <f t="shared" si="58"/>
        <v>s</v>
      </c>
      <c r="Q430" s="37">
        <f>(IF(OR(A430="DWF",A430="DNF"),0,QUOTIENT(Données_Planning!I428,60)))</f>
        <v>0</v>
      </c>
      <c r="R430" s="7" t="str">
        <f t="shared" si="59"/>
        <v>min</v>
      </c>
      <c r="S430" s="36">
        <f>(IF(OR(A430="DWF",A430="DNF"),Données_Planning!I428,MOD(Données_Planning!I428,60)))</f>
        <v>0</v>
      </c>
      <c r="T430" s="28" t="str">
        <f t="shared" si="60"/>
        <v>s</v>
      </c>
      <c r="U430" s="37">
        <f>(IF(OR(A430="DWF",A430="DNF"),0,QUOTIENT(Données_Planning!K428,60)))</f>
        <v>0</v>
      </c>
      <c r="V430" s="7" t="str">
        <f t="shared" si="61"/>
        <v>min</v>
      </c>
      <c r="W430" s="36">
        <f>(IF(OR(A430="DWF",A430="DNF"),Données_Planning!K428,MOD(Données_Planning!K428,60)))</f>
        <v>0</v>
      </c>
      <c r="X430" s="38" t="str">
        <f t="shared" si="62"/>
        <v>s</v>
      </c>
      <c r="Y430" s="42"/>
    </row>
    <row r="431" spans="1:25" ht="15.75" x14ac:dyDescent="0.25">
      <c r="A431" s="4">
        <f>Données_Planning!A429</f>
        <v>0</v>
      </c>
      <c r="B431" s="6">
        <f>Données_Planning!B429</f>
        <v>0</v>
      </c>
      <c r="C431" s="28">
        <f>Données_Planning!C429</f>
        <v>0</v>
      </c>
      <c r="D431" s="50">
        <f t="shared" si="54"/>
        <v>0</v>
      </c>
      <c r="E431" s="51">
        <f t="shared" si="55"/>
        <v>0</v>
      </c>
      <c r="F431" s="52">
        <f t="shared" si="56"/>
        <v>0</v>
      </c>
      <c r="G431" s="47">
        <f>Données_Planning!L429</f>
        <v>0</v>
      </c>
      <c r="H431" s="18">
        <f>Données_Planning!H429</f>
        <v>0</v>
      </c>
      <c r="I431" s="5">
        <f>Données_Planning!D429</f>
        <v>0</v>
      </c>
      <c r="J431" s="22">
        <f>Données_Planning!F429</f>
        <v>0</v>
      </c>
      <c r="K431" s="22">
        <f>Données_Planning!E429</f>
        <v>0</v>
      </c>
      <c r="L431" s="35">
        <f>Données_Planning!G429</f>
        <v>0</v>
      </c>
      <c r="M431" s="37">
        <f>(IF(OR(A431="DWF",A431="DNF"),0,QUOTIENT(Données_Planning!J429,60)))</f>
        <v>0</v>
      </c>
      <c r="N431" s="7" t="str">
        <f t="shared" si="57"/>
        <v>min</v>
      </c>
      <c r="O431" s="36">
        <f>(IF(OR(A431="DWF",A431="DNF"),Données_Planning!J429,MOD(Données_Planning!J429,60)))</f>
        <v>0</v>
      </c>
      <c r="P431" s="28" t="str">
        <f t="shared" si="58"/>
        <v>s</v>
      </c>
      <c r="Q431" s="37">
        <f>(IF(OR(A431="DWF",A431="DNF"),0,QUOTIENT(Données_Planning!I429,60)))</f>
        <v>0</v>
      </c>
      <c r="R431" s="7" t="str">
        <f t="shared" si="59"/>
        <v>min</v>
      </c>
      <c r="S431" s="36">
        <f>(IF(OR(A431="DWF",A431="DNF"),Données_Planning!I429,MOD(Données_Planning!I429,60)))</f>
        <v>0</v>
      </c>
      <c r="T431" s="28" t="str">
        <f t="shared" si="60"/>
        <v>s</v>
      </c>
      <c r="U431" s="37">
        <f>(IF(OR(A431="DWF",A431="DNF"),0,QUOTIENT(Données_Planning!K429,60)))</f>
        <v>0</v>
      </c>
      <c r="V431" s="7" t="str">
        <f t="shared" si="61"/>
        <v>min</v>
      </c>
      <c r="W431" s="36">
        <f>(IF(OR(A431="DWF",A431="DNF"),Données_Planning!K429,MOD(Données_Planning!K429,60)))</f>
        <v>0</v>
      </c>
      <c r="X431" s="38" t="str">
        <f t="shared" si="62"/>
        <v>s</v>
      </c>
      <c r="Y431" s="42"/>
    </row>
    <row r="432" spans="1:25" ht="15.75" x14ac:dyDescent="0.25">
      <c r="A432" s="4">
        <f>Données_Planning!A430</f>
        <v>0</v>
      </c>
      <c r="B432" s="6">
        <f>Données_Planning!B430</f>
        <v>0</v>
      </c>
      <c r="C432" s="28">
        <f>Données_Planning!C430</f>
        <v>0</v>
      </c>
      <c r="D432" s="50">
        <f t="shared" si="54"/>
        <v>0</v>
      </c>
      <c r="E432" s="51">
        <f t="shared" si="55"/>
        <v>0</v>
      </c>
      <c r="F432" s="52">
        <f t="shared" si="56"/>
        <v>0</v>
      </c>
      <c r="G432" s="47">
        <f>Données_Planning!L430</f>
        <v>0</v>
      </c>
      <c r="H432" s="18">
        <f>Données_Planning!H430</f>
        <v>0</v>
      </c>
      <c r="I432" s="5">
        <f>Données_Planning!D430</f>
        <v>0</v>
      </c>
      <c r="J432" s="22">
        <f>Données_Planning!F430</f>
        <v>0</v>
      </c>
      <c r="K432" s="22">
        <f>Données_Planning!E430</f>
        <v>0</v>
      </c>
      <c r="L432" s="35">
        <f>Données_Planning!G430</f>
        <v>0</v>
      </c>
      <c r="M432" s="37">
        <f>(IF(OR(A432="DWF",A432="DNF"),0,QUOTIENT(Données_Planning!J430,60)))</f>
        <v>0</v>
      </c>
      <c r="N432" s="7" t="str">
        <f t="shared" si="57"/>
        <v>min</v>
      </c>
      <c r="O432" s="36">
        <f>(IF(OR(A432="DWF",A432="DNF"),Données_Planning!J430,MOD(Données_Planning!J430,60)))</f>
        <v>0</v>
      </c>
      <c r="P432" s="28" t="str">
        <f t="shared" si="58"/>
        <v>s</v>
      </c>
      <c r="Q432" s="37">
        <f>(IF(OR(A432="DWF",A432="DNF"),0,QUOTIENT(Données_Planning!I430,60)))</f>
        <v>0</v>
      </c>
      <c r="R432" s="7" t="str">
        <f t="shared" si="59"/>
        <v>min</v>
      </c>
      <c r="S432" s="36">
        <f>(IF(OR(A432="DWF",A432="DNF"),Données_Planning!I430,MOD(Données_Planning!I430,60)))</f>
        <v>0</v>
      </c>
      <c r="T432" s="28" t="str">
        <f t="shared" si="60"/>
        <v>s</v>
      </c>
      <c r="U432" s="37">
        <f>(IF(OR(A432="DWF",A432="DNF"),0,QUOTIENT(Données_Planning!K430,60)))</f>
        <v>0</v>
      </c>
      <c r="V432" s="7" t="str">
        <f t="shared" si="61"/>
        <v>min</v>
      </c>
      <c r="W432" s="36">
        <f>(IF(OR(A432="DWF",A432="DNF"),Données_Planning!K430,MOD(Données_Planning!K430,60)))</f>
        <v>0</v>
      </c>
      <c r="X432" s="38" t="str">
        <f t="shared" si="62"/>
        <v>s</v>
      </c>
      <c r="Y432" s="42"/>
    </row>
    <row r="433" spans="1:25" ht="15.75" x14ac:dyDescent="0.25">
      <c r="A433" s="4">
        <f>Données_Planning!A431</f>
        <v>0</v>
      </c>
      <c r="B433" s="6">
        <f>Données_Planning!B431</f>
        <v>0</v>
      </c>
      <c r="C433" s="28">
        <f>Données_Planning!C431</f>
        <v>0</v>
      </c>
      <c r="D433" s="50">
        <f t="shared" si="54"/>
        <v>0</v>
      </c>
      <c r="E433" s="51">
        <f t="shared" si="55"/>
        <v>0</v>
      </c>
      <c r="F433" s="52">
        <f t="shared" si="56"/>
        <v>0</v>
      </c>
      <c r="G433" s="47">
        <f>Données_Planning!L431</f>
        <v>0</v>
      </c>
      <c r="H433" s="18">
        <f>Données_Planning!H431</f>
        <v>0</v>
      </c>
      <c r="I433" s="5">
        <f>Données_Planning!D431</f>
        <v>0</v>
      </c>
      <c r="J433" s="22">
        <f>Données_Planning!F431</f>
        <v>0</v>
      </c>
      <c r="K433" s="22">
        <f>Données_Planning!E431</f>
        <v>0</v>
      </c>
      <c r="L433" s="35">
        <f>Données_Planning!G431</f>
        <v>0</v>
      </c>
      <c r="M433" s="37">
        <f>(IF(OR(A433="DWF",A433="DNF"),0,QUOTIENT(Données_Planning!J431,60)))</f>
        <v>0</v>
      </c>
      <c r="N433" s="7" t="str">
        <f t="shared" si="57"/>
        <v>min</v>
      </c>
      <c r="O433" s="36">
        <f>(IF(OR(A433="DWF",A433="DNF"),Données_Planning!J431,MOD(Données_Planning!J431,60)))</f>
        <v>0</v>
      </c>
      <c r="P433" s="28" t="str">
        <f t="shared" si="58"/>
        <v>s</v>
      </c>
      <c r="Q433" s="37">
        <f>(IF(OR(A433="DWF",A433="DNF"),0,QUOTIENT(Données_Planning!I431,60)))</f>
        <v>0</v>
      </c>
      <c r="R433" s="7" t="str">
        <f t="shared" si="59"/>
        <v>min</v>
      </c>
      <c r="S433" s="36">
        <f>(IF(OR(A433="DWF",A433="DNF"),Données_Planning!I431,MOD(Données_Planning!I431,60)))</f>
        <v>0</v>
      </c>
      <c r="T433" s="28" t="str">
        <f t="shared" si="60"/>
        <v>s</v>
      </c>
      <c r="U433" s="37">
        <f>(IF(OR(A433="DWF",A433="DNF"),0,QUOTIENT(Données_Planning!K431,60)))</f>
        <v>0</v>
      </c>
      <c r="V433" s="7" t="str">
        <f t="shared" si="61"/>
        <v>min</v>
      </c>
      <c r="W433" s="36">
        <f>(IF(OR(A433="DWF",A433="DNF"),Données_Planning!K431,MOD(Données_Planning!K431,60)))</f>
        <v>0</v>
      </c>
      <c r="X433" s="38" t="str">
        <f t="shared" si="62"/>
        <v>s</v>
      </c>
      <c r="Y433" s="42"/>
    </row>
    <row r="434" spans="1:25" ht="15.75" x14ac:dyDescent="0.25">
      <c r="A434" s="4">
        <f>Données_Planning!A432</f>
        <v>0</v>
      </c>
      <c r="B434" s="6">
        <f>Données_Planning!B432</f>
        <v>0</v>
      </c>
      <c r="C434" s="28">
        <f>Données_Planning!C432</f>
        <v>0</v>
      </c>
      <c r="D434" s="50">
        <f t="shared" si="54"/>
        <v>0</v>
      </c>
      <c r="E434" s="51">
        <f t="shared" si="55"/>
        <v>0</v>
      </c>
      <c r="F434" s="52">
        <f t="shared" si="56"/>
        <v>0</v>
      </c>
      <c r="G434" s="47">
        <f>Données_Planning!L432</f>
        <v>0</v>
      </c>
      <c r="H434" s="18">
        <f>Données_Planning!H432</f>
        <v>0</v>
      </c>
      <c r="I434" s="5">
        <f>Données_Planning!D432</f>
        <v>0</v>
      </c>
      <c r="J434" s="22">
        <f>Données_Planning!F432</f>
        <v>0</v>
      </c>
      <c r="K434" s="22">
        <f>Données_Planning!E432</f>
        <v>0</v>
      </c>
      <c r="L434" s="35">
        <f>Données_Planning!G432</f>
        <v>0</v>
      </c>
      <c r="M434" s="37">
        <f>(IF(OR(A434="DWF",A434="DNF"),0,QUOTIENT(Données_Planning!J432,60)))</f>
        <v>0</v>
      </c>
      <c r="N434" s="7" t="str">
        <f t="shared" si="57"/>
        <v>min</v>
      </c>
      <c r="O434" s="36">
        <f>(IF(OR(A434="DWF",A434="DNF"),Données_Planning!J432,MOD(Données_Planning!J432,60)))</f>
        <v>0</v>
      </c>
      <c r="P434" s="28" t="str">
        <f t="shared" si="58"/>
        <v>s</v>
      </c>
      <c r="Q434" s="37">
        <f>(IF(OR(A434="DWF",A434="DNF"),0,QUOTIENT(Données_Planning!I432,60)))</f>
        <v>0</v>
      </c>
      <c r="R434" s="7" t="str">
        <f t="shared" si="59"/>
        <v>min</v>
      </c>
      <c r="S434" s="36">
        <f>(IF(OR(A434="DWF",A434="DNF"),Données_Planning!I432,MOD(Données_Planning!I432,60)))</f>
        <v>0</v>
      </c>
      <c r="T434" s="28" t="str">
        <f t="shared" si="60"/>
        <v>s</v>
      </c>
      <c r="U434" s="37">
        <f>(IF(OR(A434="DWF",A434="DNF"),0,QUOTIENT(Données_Planning!K432,60)))</f>
        <v>0</v>
      </c>
      <c r="V434" s="7" t="str">
        <f t="shared" si="61"/>
        <v>min</v>
      </c>
      <c r="W434" s="36">
        <f>(IF(OR(A434="DWF",A434="DNF"),Données_Planning!K432,MOD(Données_Planning!K432,60)))</f>
        <v>0</v>
      </c>
      <c r="X434" s="38" t="str">
        <f t="shared" si="62"/>
        <v>s</v>
      </c>
      <c r="Y434" s="42"/>
    </row>
    <row r="435" spans="1:25" ht="15.75" x14ac:dyDescent="0.25">
      <c r="A435" s="4">
        <f>Données_Planning!A433</f>
        <v>0</v>
      </c>
      <c r="B435" s="6">
        <f>Données_Planning!B433</f>
        <v>0</v>
      </c>
      <c r="C435" s="28">
        <f>Données_Planning!C433</f>
        <v>0</v>
      </c>
      <c r="D435" s="50">
        <f t="shared" si="54"/>
        <v>0</v>
      </c>
      <c r="E435" s="51">
        <f t="shared" si="55"/>
        <v>0</v>
      </c>
      <c r="F435" s="52">
        <f t="shared" si="56"/>
        <v>0</v>
      </c>
      <c r="G435" s="47">
        <f>Données_Planning!L433</f>
        <v>0</v>
      </c>
      <c r="H435" s="18">
        <f>Données_Planning!H433</f>
        <v>0</v>
      </c>
      <c r="I435" s="5">
        <f>Données_Planning!D433</f>
        <v>0</v>
      </c>
      <c r="J435" s="22">
        <f>Données_Planning!F433</f>
        <v>0</v>
      </c>
      <c r="K435" s="22">
        <f>Données_Planning!E433</f>
        <v>0</v>
      </c>
      <c r="L435" s="35">
        <f>Données_Planning!G433</f>
        <v>0</v>
      </c>
      <c r="M435" s="37">
        <f>(IF(OR(A435="DWF",A435="DNF"),0,QUOTIENT(Données_Planning!J433,60)))</f>
        <v>0</v>
      </c>
      <c r="N435" s="7" t="str">
        <f t="shared" si="57"/>
        <v>min</v>
      </c>
      <c r="O435" s="36">
        <f>(IF(OR(A435="DWF",A435="DNF"),Données_Planning!J433,MOD(Données_Planning!J433,60)))</f>
        <v>0</v>
      </c>
      <c r="P435" s="28" t="str">
        <f t="shared" si="58"/>
        <v>s</v>
      </c>
      <c r="Q435" s="37">
        <f>(IF(OR(A435="DWF",A435="DNF"),0,QUOTIENT(Données_Planning!I433,60)))</f>
        <v>0</v>
      </c>
      <c r="R435" s="7" t="str">
        <f t="shared" si="59"/>
        <v>min</v>
      </c>
      <c r="S435" s="36">
        <f>(IF(OR(A435="DWF",A435="DNF"),Données_Planning!I433,MOD(Données_Planning!I433,60)))</f>
        <v>0</v>
      </c>
      <c r="T435" s="28" t="str">
        <f t="shared" si="60"/>
        <v>s</v>
      </c>
      <c r="U435" s="37">
        <f>(IF(OR(A435="DWF",A435="DNF"),0,QUOTIENT(Données_Planning!K433,60)))</f>
        <v>0</v>
      </c>
      <c r="V435" s="7" t="str">
        <f t="shared" si="61"/>
        <v>min</v>
      </c>
      <c r="W435" s="36">
        <f>(IF(OR(A435="DWF",A435="DNF"),Données_Planning!K433,MOD(Données_Planning!K433,60)))</f>
        <v>0</v>
      </c>
      <c r="X435" s="38" t="str">
        <f t="shared" si="62"/>
        <v>s</v>
      </c>
      <c r="Y435" s="42"/>
    </row>
    <row r="436" spans="1:25" ht="15.75" x14ac:dyDescent="0.25">
      <c r="A436" s="4">
        <f>Données_Planning!A434</f>
        <v>0</v>
      </c>
      <c r="B436" s="6">
        <f>Données_Planning!B434</f>
        <v>0</v>
      </c>
      <c r="C436" s="28">
        <f>Données_Planning!C434</f>
        <v>0</v>
      </c>
      <c r="D436" s="50">
        <f t="shared" si="54"/>
        <v>0</v>
      </c>
      <c r="E436" s="51">
        <f t="shared" si="55"/>
        <v>0</v>
      </c>
      <c r="F436" s="52">
        <f t="shared" si="56"/>
        <v>0</v>
      </c>
      <c r="G436" s="47">
        <f>Données_Planning!L434</f>
        <v>0</v>
      </c>
      <c r="H436" s="18">
        <f>Données_Planning!H434</f>
        <v>0</v>
      </c>
      <c r="I436" s="5">
        <f>Données_Planning!D434</f>
        <v>0</v>
      </c>
      <c r="J436" s="22">
        <f>Données_Planning!F434</f>
        <v>0</v>
      </c>
      <c r="K436" s="22">
        <f>Données_Planning!E434</f>
        <v>0</v>
      </c>
      <c r="L436" s="35">
        <f>Données_Planning!G434</f>
        <v>0</v>
      </c>
      <c r="M436" s="37">
        <f>(IF(OR(A436="DWF",A436="DNF"),0,QUOTIENT(Données_Planning!J434,60)))</f>
        <v>0</v>
      </c>
      <c r="N436" s="7" t="str">
        <f t="shared" si="57"/>
        <v>min</v>
      </c>
      <c r="O436" s="36">
        <f>(IF(OR(A436="DWF",A436="DNF"),Données_Planning!J434,MOD(Données_Planning!J434,60)))</f>
        <v>0</v>
      </c>
      <c r="P436" s="28" t="str">
        <f t="shared" si="58"/>
        <v>s</v>
      </c>
      <c r="Q436" s="37">
        <f>(IF(OR(A436="DWF",A436="DNF"),0,QUOTIENT(Données_Planning!I434,60)))</f>
        <v>0</v>
      </c>
      <c r="R436" s="7" t="str">
        <f t="shared" si="59"/>
        <v>min</v>
      </c>
      <c r="S436" s="36">
        <f>(IF(OR(A436="DWF",A436="DNF"),Données_Planning!I434,MOD(Données_Planning!I434,60)))</f>
        <v>0</v>
      </c>
      <c r="T436" s="28" t="str">
        <f t="shared" si="60"/>
        <v>s</v>
      </c>
      <c r="U436" s="37">
        <f>(IF(OR(A436="DWF",A436="DNF"),0,QUOTIENT(Données_Planning!K434,60)))</f>
        <v>0</v>
      </c>
      <c r="V436" s="7" t="str">
        <f t="shared" si="61"/>
        <v>min</v>
      </c>
      <c r="W436" s="36">
        <f>(IF(OR(A436="DWF",A436="DNF"),Données_Planning!K434,MOD(Données_Planning!K434,60)))</f>
        <v>0</v>
      </c>
      <c r="X436" s="38" t="str">
        <f t="shared" si="62"/>
        <v>s</v>
      </c>
      <c r="Y436" s="42"/>
    </row>
    <row r="437" spans="1:25" ht="15.75" x14ac:dyDescent="0.25">
      <c r="A437" s="4">
        <f>Données_Planning!A435</f>
        <v>0</v>
      </c>
      <c r="B437" s="6">
        <f>Données_Planning!B435</f>
        <v>0</v>
      </c>
      <c r="C437" s="28">
        <f>Données_Planning!C435</f>
        <v>0</v>
      </c>
      <c r="D437" s="50">
        <f t="shared" si="54"/>
        <v>0</v>
      </c>
      <c r="E437" s="51">
        <f t="shared" si="55"/>
        <v>0</v>
      </c>
      <c r="F437" s="52">
        <f t="shared" si="56"/>
        <v>0</v>
      </c>
      <c r="G437" s="47">
        <f>Données_Planning!L435</f>
        <v>0</v>
      </c>
      <c r="H437" s="18">
        <f>Données_Planning!H435</f>
        <v>0</v>
      </c>
      <c r="I437" s="5">
        <f>Données_Planning!D435</f>
        <v>0</v>
      </c>
      <c r="J437" s="22">
        <f>Données_Planning!F435</f>
        <v>0</v>
      </c>
      <c r="K437" s="22">
        <f>Données_Planning!E435</f>
        <v>0</v>
      </c>
      <c r="L437" s="35">
        <f>Données_Planning!G435</f>
        <v>0</v>
      </c>
      <c r="M437" s="37">
        <f>(IF(OR(A437="DWF",A437="DNF"),0,QUOTIENT(Données_Planning!J435,60)))</f>
        <v>0</v>
      </c>
      <c r="N437" s="7" t="str">
        <f t="shared" si="57"/>
        <v>min</v>
      </c>
      <c r="O437" s="36">
        <f>(IF(OR(A437="DWF",A437="DNF"),Données_Planning!J435,MOD(Données_Planning!J435,60)))</f>
        <v>0</v>
      </c>
      <c r="P437" s="28" t="str">
        <f t="shared" si="58"/>
        <v>s</v>
      </c>
      <c r="Q437" s="37">
        <f>(IF(OR(A437="DWF",A437="DNF"),0,QUOTIENT(Données_Planning!I435,60)))</f>
        <v>0</v>
      </c>
      <c r="R437" s="7" t="str">
        <f t="shared" si="59"/>
        <v>min</v>
      </c>
      <c r="S437" s="36">
        <f>(IF(OR(A437="DWF",A437="DNF"),Données_Planning!I435,MOD(Données_Planning!I435,60)))</f>
        <v>0</v>
      </c>
      <c r="T437" s="28" t="str">
        <f t="shared" si="60"/>
        <v>s</v>
      </c>
      <c r="U437" s="37">
        <f>(IF(OR(A437="DWF",A437="DNF"),0,QUOTIENT(Données_Planning!K435,60)))</f>
        <v>0</v>
      </c>
      <c r="V437" s="7" t="str">
        <f t="shared" si="61"/>
        <v>min</v>
      </c>
      <c r="W437" s="36">
        <f>(IF(OR(A437="DWF",A437="DNF"),Données_Planning!K435,MOD(Données_Planning!K435,60)))</f>
        <v>0</v>
      </c>
      <c r="X437" s="38" t="str">
        <f t="shared" si="62"/>
        <v>s</v>
      </c>
      <c r="Y437" s="42"/>
    </row>
    <row r="438" spans="1:25" ht="15.75" x14ac:dyDescent="0.25">
      <c r="A438" s="4">
        <f>Données_Planning!A436</f>
        <v>0</v>
      </c>
      <c r="B438" s="6">
        <f>Données_Planning!B436</f>
        <v>0</v>
      </c>
      <c r="C438" s="28">
        <f>Données_Planning!C436</f>
        <v>0</v>
      </c>
      <c r="D438" s="50">
        <f t="shared" si="54"/>
        <v>0</v>
      </c>
      <c r="E438" s="51">
        <f t="shared" si="55"/>
        <v>0</v>
      </c>
      <c r="F438" s="52">
        <f t="shared" si="56"/>
        <v>0</v>
      </c>
      <c r="G438" s="47">
        <f>Données_Planning!L436</f>
        <v>0</v>
      </c>
      <c r="H438" s="18">
        <f>Données_Planning!H436</f>
        <v>0</v>
      </c>
      <c r="I438" s="5">
        <f>Données_Planning!D436</f>
        <v>0</v>
      </c>
      <c r="J438" s="22">
        <f>Données_Planning!F436</f>
        <v>0</v>
      </c>
      <c r="K438" s="22">
        <f>Données_Planning!E436</f>
        <v>0</v>
      </c>
      <c r="L438" s="35">
        <f>Données_Planning!G436</f>
        <v>0</v>
      </c>
      <c r="M438" s="37">
        <f>(IF(OR(A438="DWF",A438="DNF"),0,QUOTIENT(Données_Planning!J436,60)))</f>
        <v>0</v>
      </c>
      <c r="N438" s="7" t="str">
        <f t="shared" si="57"/>
        <v>min</v>
      </c>
      <c r="O438" s="36">
        <f>(IF(OR(A438="DWF",A438="DNF"),Données_Planning!J436,MOD(Données_Planning!J436,60)))</f>
        <v>0</v>
      </c>
      <c r="P438" s="28" t="str">
        <f t="shared" si="58"/>
        <v>s</v>
      </c>
      <c r="Q438" s="37">
        <f>(IF(OR(A438="DWF",A438="DNF"),0,QUOTIENT(Données_Planning!I436,60)))</f>
        <v>0</v>
      </c>
      <c r="R438" s="7" t="str">
        <f t="shared" si="59"/>
        <v>min</v>
      </c>
      <c r="S438" s="36">
        <f>(IF(OR(A438="DWF",A438="DNF"),Données_Planning!I436,MOD(Données_Planning!I436,60)))</f>
        <v>0</v>
      </c>
      <c r="T438" s="28" t="str">
        <f t="shared" si="60"/>
        <v>s</v>
      </c>
      <c r="U438" s="37">
        <f>(IF(OR(A438="DWF",A438="DNF"),0,QUOTIENT(Données_Planning!K436,60)))</f>
        <v>0</v>
      </c>
      <c r="V438" s="7" t="str">
        <f t="shared" si="61"/>
        <v>min</v>
      </c>
      <c r="W438" s="36">
        <f>(IF(OR(A438="DWF",A438="DNF"),Données_Planning!K436,MOD(Données_Planning!K436,60)))</f>
        <v>0</v>
      </c>
      <c r="X438" s="38" t="str">
        <f t="shared" si="62"/>
        <v>s</v>
      </c>
      <c r="Y438" s="42"/>
    </row>
    <row r="439" spans="1:25" ht="15.75" x14ac:dyDescent="0.25">
      <c r="A439" s="4">
        <f>Données_Planning!A437</f>
        <v>0</v>
      </c>
      <c r="B439" s="6">
        <f>Données_Planning!B437</f>
        <v>0</v>
      </c>
      <c r="C439" s="28">
        <f>Données_Planning!C437</f>
        <v>0</v>
      </c>
      <c r="D439" s="50">
        <f t="shared" si="54"/>
        <v>0</v>
      </c>
      <c r="E439" s="51">
        <f t="shared" si="55"/>
        <v>0</v>
      </c>
      <c r="F439" s="52">
        <f t="shared" si="56"/>
        <v>0</v>
      </c>
      <c r="G439" s="47">
        <f>Données_Planning!L437</f>
        <v>0</v>
      </c>
      <c r="H439" s="18">
        <f>Données_Planning!H437</f>
        <v>0</v>
      </c>
      <c r="I439" s="5">
        <f>Données_Planning!D437</f>
        <v>0</v>
      </c>
      <c r="J439" s="22">
        <f>Données_Planning!F437</f>
        <v>0</v>
      </c>
      <c r="K439" s="22">
        <f>Données_Planning!E437</f>
        <v>0</v>
      </c>
      <c r="L439" s="35">
        <f>Données_Planning!G437</f>
        <v>0</v>
      </c>
      <c r="M439" s="37">
        <f>(IF(OR(A439="DWF",A439="DNF"),0,QUOTIENT(Données_Planning!J437,60)))</f>
        <v>0</v>
      </c>
      <c r="N439" s="7" t="str">
        <f t="shared" si="57"/>
        <v>min</v>
      </c>
      <c r="O439" s="36">
        <f>(IF(OR(A439="DWF",A439="DNF"),Données_Planning!J437,MOD(Données_Planning!J437,60)))</f>
        <v>0</v>
      </c>
      <c r="P439" s="28" t="str">
        <f t="shared" si="58"/>
        <v>s</v>
      </c>
      <c r="Q439" s="37">
        <f>(IF(OR(A439="DWF",A439="DNF"),0,QUOTIENT(Données_Planning!I437,60)))</f>
        <v>0</v>
      </c>
      <c r="R439" s="7" t="str">
        <f t="shared" si="59"/>
        <v>min</v>
      </c>
      <c r="S439" s="36">
        <f>(IF(OR(A439="DWF",A439="DNF"),Données_Planning!I437,MOD(Données_Planning!I437,60)))</f>
        <v>0</v>
      </c>
      <c r="T439" s="28" t="str">
        <f t="shared" si="60"/>
        <v>s</v>
      </c>
      <c r="U439" s="37">
        <f>(IF(OR(A439="DWF",A439="DNF"),0,QUOTIENT(Données_Planning!K437,60)))</f>
        <v>0</v>
      </c>
      <c r="V439" s="7" t="str">
        <f t="shared" si="61"/>
        <v>min</v>
      </c>
      <c r="W439" s="36">
        <f>(IF(OR(A439="DWF",A439="DNF"),Données_Planning!K437,MOD(Données_Planning!K437,60)))</f>
        <v>0</v>
      </c>
      <c r="X439" s="38" t="str">
        <f t="shared" si="62"/>
        <v>s</v>
      </c>
      <c r="Y439" s="42"/>
    </row>
    <row r="440" spans="1:25" ht="15.75" x14ac:dyDescent="0.25">
      <c r="A440" s="4">
        <f>Données_Planning!A438</f>
        <v>0</v>
      </c>
      <c r="B440" s="6">
        <f>Données_Planning!B438</f>
        <v>0</v>
      </c>
      <c r="C440" s="28">
        <f>Données_Planning!C438</f>
        <v>0</v>
      </c>
      <c r="D440" s="50">
        <f t="shared" si="54"/>
        <v>0</v>
      </c>
      <c r="E440" s="51">
        <f t="shared" si="55"/>
        <v>0</v>
      </c>
      <c r="F440" s="52">
        <f t="shared" si="56"/>
        <v>0</v>
      </c>
      <c r="G440" s="47">
        <f>Données_Planning!L438</f>
        <v>0</v>
      </c>
      <c r="H440" s="18">
        <f>Données_Planning!H438</f>
        <v>0</v>
      </c>
      <c r="I440" s="5">
        <f>Données_Planning!D438</f>
        <v>0</v>
      </c>
      <c r="J440" s="22">
        <f>Données_Planning!F438</f>
        <v>0</v>
      </c>
      <c r="K440" s="22">
        <f>Données_Planning!E438</f>
        <v>0</v>
      </c>
      <c r="L440" s="35">
        <f>Données_Planning!G438</f>
        <v>0</v>
      </c>
      <c r="M440" s="37">
        <f>(IF(OR(A440="DWF",A440="DNF"),0,QUOTIENT(Données_Planning!J438,60)))</f>
        <v>0</v>
      </c>
      <c r="N440" s="7" t="str">
        <f t="shared" si="57"/>
        <v>min</v>
      </c>
      <c r="O440" s="36">
        <f>(IF(OR(A440="DWF",A440="DNF"),Données_Planning!J438,MOD(Données_Planning!J438,60)))</f>
        <v>0</v>
      </c>
      <c r="P440" s="28" t="str">
        <f t="shared" si="58"/>
        <v>s</v>
      </c>
      <c r="Q440" s="37">
        <f>(IF(OR(A440="DWF",A440="DNF"),0,QUOTIENT(Données_Planning!I438,60)))</f>
        <v>0</v>
      </c>
      <c r="R440" s="7" t="str">
        <f t="shared" si="59"/>
        <v>min</v>
      </c>
      <c r="S440" s="36">
        <f>(IF(OR(A440="DWF",A440="DNF"),Données_Planning!I438,MOD(Données_Planning!I438,60)))</f>
        <v>0</v>
      </c>
      <c r="T440" s="28" t="str">
        <f t="shared" si="60"/>
        <v>s</v>
      </c>
      <c r="U440" s="37">
        <f>(IF(OR(A440="DWF",A440="DNF"),0,QUOTIENT(Données_Planning!K438,60)))</f>
        <v>0</v>
      </c>
      <c r="V440" s="7" t="str">
        <f t="shared" si="61"/>
        <v>min</v>
      </c>
      <c r="W440" s="36">
        <f>(IF(OR(A440="DWF",A440="DNF"),Données_Planning!K438,MOD(Données_Planning!K438,60)))</f>
        <v>0</v>
      </c>
      <c r="X440" s="38" t="str">
        <f t="shared" si="62"/>
        <v>s</v>
      </c>
      <c r="Y440" s="42"/>
    </row>
    <row r="441" spans="1:25" ht="15.75" x14ac:dyDescent="0.25">
      <c r="A441" s="4">
        <f>Données_Planning!A439</f>
        <v>0</v>
      </c>
      <c r="B441" s="6">
        <f>Données_Planning!B439</f>
        <v>0</v>
      </c>
      <c r="C441" s="28">
        <f>Données_Planning!C439</f>
        <v>0</v>
      </c>
      <c r="D441" s="50">
        <f t="shared" si="54"/>
        <v>0</v>
      </c>
      <c r="E441" s="51">
        <f t="shared" si="55"/>
        <v>0</v>
      </c>
      <c r="F441" s="52">
        <f t="shared" si="56"/>
        <v>0</v>
      </c>
      <c r="G441" s="47">
        <f>Données_Planning!L439</f>
        <v>0</v>
      </c>
      <c r="H441" s="18">
        <f>Données_Planning!H439</f>
        <v>0</v>
      </c>
      <c r="I441" s="5">
        <f>Données_Planning!D439</f>
        <v>0</v>
      </c>
      <c r="J441" s="22">
        <f>Données_Planning!F439</f>
        <v>0</v>
      </c>
      <c r="K441" s="22">
        <f>Données_Planning!E439</f>
        <v>0</v>
      </c>
      <c r="L441" s="35">
        <f>Données_Planning!G439</f>
        <v>0</v>
      </c>
      <c r="M441" s="37">
        <f>(IF(OR(A441="DWF",A441="DNF"),0,QUOTIENT(Données_Planning!J439,60)))</f>
        <v>0</v>
      </c>
      <c r="N441" s="7" t="str">
        <f t="shared" si="57"/>
        <v>min</v>
      </c>
      <c r="O441" s="36">
        <f>(IF(OR(A441="DWF",A441="DNF"),Données_Planning!J439,MOD(Données_Planning!J439,60)))</f>
        <v>0</v>
      </c>
      <c r="P441" s="28" t="str">
        <f t="shared" si="58"/>
        <v>s</v>
      </c>
      <c r="Q441" s="37">
        <f>(IF(OR(A441="DWF",A441="DNF"),0,QUOTIENT(Données_Planning!I439,60)))</f>
        <v>0</v>
      </c>
      <c r="R441" s="7" t="str">
        <f t="shared" si="59"/>
        <v>min</v>
      </c>
      <c r="S441" s="36">
        <f>(IF(OR(A441="DWF",A441="DNF"),Données_Planning!I439,MOD(Données_Planning!I439,60)))</f>
        <v>0</v>
      </c>
      <c r="T441" s="28" t="str">
        <f t="shared" si="60"/>
        <v>s</v>
      </c>
      <c r="U441" s="37">
        <f>(IF(OR(A441="DWF",A441="DNF"),0,QUOTIENT(Données_Planning!K439,60)))</f>
        <v>0</v>
      </c>
      <c r="V441" s="7" t="str">
        <f t="shared" si="61"/>
        <v>min</v>
      </c>
      <c r="W441" s="36">
        <f>(IF(OR(A441="DWF",A441="DNF"),Données_Planning!K439,MOD(Données_Planning!K439,60)))</f>
        <v>0</v>
      </c>
      <c r="X441" s="38" t="str">
        <f t="shared" si="62"/>
        <v>s</v>
      </c>
      <c r="Y441" s="42"/>
    </row>
    <row r="442" spans="1:25" ht="15.75" x14ac:dyDescent="0.25">
      <c r="A442" s="4">
        <f>Données_Planning!A440</f>
        <v>0</v>
      </c>
      <c r="B442" s="6">
        <f>Données_Planning!B440</f>
        <v>0</v>
      </c>
      <c r="C442" s="28">
        <f>Données_Planning!C440</f>
        <v>0</v>
      </c>
      <c r="D442" s="50">
        <f t="shared" si="54"/>
        <v>0</v>
      </c>
      <c r="E442" s="51">
        <f t="shared" si="55"/>
        <v>0</v>
      </c>
      <c r="F442" s="52">
        <f t="shared" si="56"/>
        <v>0</v>
      </c>
      <c r="G442" s="47">
        <f>Données_Planning!L440</f>
        <v>0</v>
      </c>
      <c r="H442" s="18">
        <f>Données_Planning!H440</f>
        <v>0</v>
      </c>
      <c r="I442" s="5">
        <f>Données_Planning!D440</f>
        <v>0</v>
      </c>
      <c r="J442" s="22">
        <f>Données_Planning!F440</f>
        <v>0</v>
      </c>
      <c r="K442" s="22">
        <f>Données_Planning!E440</f>
        <v>0</v>
      </c>
      <c r="L442" s="35">
        <f>Données_Planning!G440</f>
        <v>0</v>
      </c>
      <c r="M442" s="37">
        <f>(IF(OR(A442="DWF",A442="DNF"),0,QUOTIENT(Données_Planning!J440,60)))</f>
        <v>0</v>
      </c>
      <c r="N442" s="7" t="str">
        <f t="shared" si="57"/>
        <v>min</v>
      </c>
      <c r="O442" s="36">
        <f>(IF(OR(A442="DWF",A442="DNF"),Données_Planning!J440,MOD(Données_Planning!J440,60)))</f>
        <v>0</v>
      </c>
      <c r="P442" s="28" t="str">
        <f t="shared" si="58"/>
        <v>s</v>
      </c>
      <c r="Q442" s="37">
        <f>(IF(OR(A442="DWF",A442="DNF"),0,QUOTIENT(Données_Planning!I440,60)))</f>
        <v>0</v>
      </c>
      <c r="R442" s="7" t="str">
        <f t="shared" si="59"/>
        <v>min</v>
      </c>
      <c r="S442" s="36">
        <f>(IF(OR(A442="DWF",A442="DNF"),Données_Planning!I440,MOD(Données_Planning!I440,60)))</f>
        <v>0</v>
      </c>
      <c r="T442" s="28" t="str">
        <f t="shared" si="60"/>
        <v>s</v>
      </c>
      <c r="U442" s="37">
        <f>(IF(OR(A442="DWF",A442="DNF"),0,QUOTIENT(Données_Planning!K440,60)))</f>
        <v>0</v>
      </c>
      <c r="V442" s="7" t="str">
        <f t="shared" si="61"/>
        <v>min</v>
      </c>
      <c r="W442" s="36">
        <f>(IF(OR(A442="DWF",A442="DNF"),Données_Planning!K440,MOD(Données_Planning!K440,60)))</f>
        <v>0</v>
      </c>
      <c r="X442" s="38" t="str">
        <f t="shared" si="62"/>
        <v>s</v>
      </c>
      <c r="Y442" s="42"/>
    </row>
    <row r="443" spans="1:25" ht="15.75" x14ac:dyDescent="0.25">
      <c r="A443" s="4">
        <f>Données_Planning!A441</f>
        <v>0</v>
      </c>
      <c r="B443" s="6">
        <f>Données_Planning!B441</f>
        <v>0</v>
      </c>
      <c r="C443" s="28">
        <f>Données_Planning!C441</f>
        <v>0</v>
      </c>
      <c r="D443" s="50">
        <f t="shared" si="54"/>
        <v>0</v>
      </c>
      <c r="E443" s="51">
        <f t="shared" si="55"/>
        <v>0</v>
      </c>
      <c r="F443" s="52">
        <f t="shared" si="56"/>
        <v>0</v>
      </c>
      <c r="G443" s="47">
        <f>Données_Planning!L441</f>
        <v>0</v>
      </c>
      <c r="H443" s="18">
        <f>Données_Planning!H441</f>
        <v>0</v>
      </c>
      <c r="I443" s="5">
        <f>Données_Planning!D441</f>
        <v>0</v>
      </c>
      <c r="J443" s="22">
        <f>Données_Planning!F441</f>
        <v>0</v>
      </c>
      <c r="K443" s="22">
        <f>Données_Planning!E441</f>
        <v>0</v>
      </c>
      <c r="L443" s="35">
        <f>Données_Planning!G441</f>
        <v>0</v>
      </c>
      <c r="M443" s="37">
        <f>(IF(OR(A443="DWF",A443="DNF"),0,QUOTIENT(Données_Planning!J441,60)))</f>
        <v>0</v>
      </c>
      <c r="N443" s="7" t="str">
        <f t="shared" si="57"/>
        <v>min</v>
      </c>
      <c r="O443" s="36">
        <f>(IF(OR(A443="DWF",A443="DNF"),Données_Planning!J441,MOD(Données_Planning!J441,60)))</f>
        <v>0</v>
      </c>
      <c r="P443" s="28" t="str">
        <f t="shared" si="58"/>
        <v>s</v>
      </c>
      <c r="Q443" s="37">
        <f>(IF(OR(A443="DWF",A443="DNF"),0,QUOTIENT(Données_Planning!I441,60)))</f>
        <v>0</v>
      </c>
      <c r="R443" s="7" t="str">
        <f t="shared" si="59"/>
        <v>min</v>
      </c>
      <c r="S443" s="36">
        <f>(IF(OR(A443="DWF",A443="DNF"),Données_Planning!I441,MOD(Données_Planning!I441,60)))</f>
        <v>0</v>
      </c>
      <c r="T443" s="28" t="str">
        <f t="shared" si="60"/>
        <v>s</v>
      </c>
      <c r="U443" s="37">
        <f>(IF(OR(A443="DWF",A443="DNF"),0,QUOTIENT(Données_Planning!K441,60)))</f>
        <v>0</v>
      </c>
      <c r="V443" s="7" t="str">
        <f t="shared" si="61"/>
        <v>min</v>
      </c>
      <c r="W443" s="36">
        <f>(IF(OR(A443="DWF",A443="DNF"),Données_Planning!K441,MOD(Données_Planning!K441,60)))</f>
        <v>0</v>
      </c>
      <c r="X443" s="38" t="str">
        <f t="shared" si="62"/>
        <v>s</v>
      </c>
      <c r="Y443" s="42"/>
    </row>
    <row r="444" spans="1:25" ht="15.75" x14ac:dyDescent="0.25">
      <c r="A444" s="4">
        <f>Données_Planning!A442</f>
        <v>0</v>
      </c>
      <c r="B444" s="6">
        <f>Données_Planning!B442</f>
        <v>0</v>
      </c>
      <c r="C444" s="28">
        <f>Données_Planning!C442</f>
        <v>0</v>
      </c>
      <c r="D444" s="50">
        <f t="shared" si="54"/>
        <v>0</v>
      </c>
      <c r="E444" s="51">
        <f t="shared" si="55"/>
        <v>0</v>
      </c>
      <c r="F444" s="52">
        <f t="shared" si="56"/>
        <v>0</v>
      </c>
      <c r="G444" s="47">
        <f>Données_Planning!L442</f>
        <v>0</v>
      </c>
      <c r="H444" s="18">
        <f>Données_Planning!H442</f>
        <v>0</v>
      </c>
      <c r="I444" s="5">
        <f>Données_Planning!D442</f>
        <v>0</v>
      </c>
      <c r="J444" s="22">
        <f>Données_Planning!F442</f>
        <v>0</v>
      </c>
      <c r="K444" s="22">
        <f>Données_Planning!E442</f>
        <v>0</v>
      </c>
      <c r="L444" s="35">
        <f>Données_Planning!G442</f>
        <v>0</v>
      </c>
      <c r="M444" s="37">
        <f>(IF(OR(A444="DWF",A444="DNF"),0,QUOTIENT(Données_Planning!J442,60)))</f>
        <v>0</v>
      </c>
      <c r="N444" s="7" t="str">
        <f t="shared" si="57"/>
        <v>min</v>
      </c>
      <c r="O444" s="36">
        <f>(IF(OR(A444="DWF",A444="DNF"),Données_Planning!J442,MOD(Données_Planning!J442,60)))</f>
        <v>0</v>
      </c>
      <c r="P444" s="28" t="str">
        <f t="shared" si="58"/>
        <v>s</v>
      </c>
      <c r="Q444" s="37">
        <f>(IF(OR(A444="DWF",A444="DNF"),0,QUOTIENT(Données_Planning!I442,60)))</f>
        <v>0</v>
      </c>
      <c r="R444" s="7" t="str">
        <f t="shared" si="59"/>
        <v>min</v>
      </c>
      <c r="S444" s="36">
        <f>(IF(OR(A444="DWF",A444="DNF"),Données_Planning!I442,MOD(Données_Planning!I442,60)))</f>
        <v>0</v>
      </c>
      <c r="T444" s="28" t="str">
        <f t="shared" si="60"/>
        <v>s</v>
      </c>
      <c r="U444" s="37">
        <f>(IF(OR(A444="DWF",A444="DNF"),0,QUOTIENT(Données_Planning!K442,60)))</f>
        <v>0</v>
      </c>
      <c r="V444" s="7" t="str">
        <f t="shared" si="61"/>
        <v>min</v>
      </c>
      <c r="W444" s="36">
        <f>(IF(OR(A444="DWF",A444="DNF"),Données_Planning!K442,MOD(Données_Planning!K442,60)))</f>
        <v>0</v>
      </c>
      <c r="X444" s="38" t="str">
        <f t="shared" si="62"/>
        <v>s</v>
      </c>
      <c r="Y444" s="42"/>
    </row>
    <row r="445" spans="1:25" ht="15.75" x14ac:dyDescent="0.25">
      <c r="A445" s="4">
        <f>Données_Planning!A443</f>
        <v>0</v>
      </c>
      <c r="B445" s="6">
        <f>Données_Planning!B443</f>
        <v>0</v>
      </c>
      <c r="C445" s="28">
        <f>Données_Planning!C443</f>
        <v>0</v>
      </c>
      <c r="D445" s="50">
        <f t="shared" si="54"/>
        <v>0</v>
      </c>
      <c r="E445" s="51">
        <f t="shared" si="55"/>
        <v>0</v>
      </c>
      <c r="F445" s="52">
        <f t="shared" si="56"/>
        <v>0</v>
      </c>
      <c r="G445" s="47">
        <f>Données_Planning!L443</f>
        <v>0</v>
      </c>
      <c r="H445" s="18">
        <f>Données_Planning!H443</f>
        <v>0</v>
      </c>
      <c r="I445" s="5">
        <f>Données_Planning!D443</f>
        <v>0</v>
      </c>
      <c r="J445" s="22">
        <f>Données_Planning!F443</f>
        <v>0</v>
      </c>
      <c r="K445" s="22">
        <f>Données_Planning!E443</f>
        <v>0</v>
      </c>
      <c r="L445" s="35">
        <f>Données_Planning!G443</f>
        <v>0</v>
      </c>
      <c r="M445" s="37">
        <f>(IF(OR(A445="DWF",A445="DNF"),0,QUOTIENT(Données_Planning!J443,60)))</f>
        <v>0</v>
      </c>
      <c r="N445" s="7" t="str">
        <f t="shared" si="57"/>
        <v>min</v>
      </c>
      <c r="O445" s="36">
        <f>(IF(OR(A445="DWF",A445="DNF"),Données_Planning!J443,MOD(Données_Planning!J443,60)))</f>
        <v>0</v>
      </c>
      <c r="P445" s="28" t="str">
        <f t="shared" si="58"/>
        <v>s</v>
      </c>
      <c r="Q445" s="37">
        <f>(IF(OR(A445="DWF",A445="DNF"),0,QUOTIENT(Données_Planning!I443,60)))</f>
        <v>0</v>
      </c>
      <c r="R445" s="7" t="str">
        <f t="shared" si="59"/>
        <v>min</v>
      </c>
      <c r="S445" s="36">
        <f>(IF(OR(A445="DWF",A445="DNF"),Données_Planning!I443,MOD(Données_Planning!I443,60)))</f>
        <v>0</v>
      </c>
      <c r="T445" s="28" t="str">
        <f t="shared" si="60"/>
        <v>s</v>
      </c>
      <c r="U445" s="37">
        <f>(IF(OR(A445="DWF",A445="DNF"),0,QUOTIENT(Données_Planning!K443,60)))</f>
        <v>0</v>
      </c>
      <c r="V445" s="7" t="str">
        <f t="shared" si="61"/>
        <v>min</v>
      </c>
      <c r="W445" s="36">
        <f>(IF(OR(A445="DWF",A445="DNF"),Données_Planning!K443,MOD(Données_Planning!K443,60)))</f>
        <v>0</v>
      </c>
      <c r="X445" s="38" t="str">
        <f t="shared" si="62"/>
        <v>s</v>
      </c>
      <c r="Y445" s="42"/>
    </row>
    <row r="446" spans="1:25" ht="15.75" x14ac:dyDescent="0.25">
      <c r="A446" s="4">
        <f>Données_Planning!A444</f>
        <v>0</v>
      </c>
      <c r="B446" s="6">
        <f>Données_Planning!B444</f>
        <v>0</v>
      </c>
      <c r="C446" s="28">
        <f>Données_Planning!C444</f>
        <v>0</v>
      </c>
      <c r="D446" s="50">
        <f t="shared" si="54"/>
        <v>0</v>
      </c>
      <c r="E446" s="51">
        <f t="shared" si="55"/>
        <v>0</v>
      </c>
      <c r="F446" s="52">
        <f t="shared" si="56"/>
        <v>0</v>
      </c>
      <c r="G446" s="47">
        <f>Données_Planning!L444</f>
        <v>0</v>
      </c>
      <c r="H446" s="18">
        <f>Données_Planning!H444</f>
        <v>0</v>
      </c>
      <c r="I446" s="5">
        <f>Données_Planning!D444</f>
        <v>0</v>
      </c>
      <c r="J446" s="22">
        <f>Données_Planning!F444</f>
        <v>0</v>
      </c>
      <c r="K446" s="22">
        <f>Données_Planning!E444</f>
        <v>0</v>
      </c>
      <c r="L446" s="35">
        <f>Données_Planning!G444</f>
        <v>0</v>
      </c>
      <c r="M446" s="37">
        <f>(IF(OR(A446="DWF",A446="DNF"),0,QUOTIENT(Données_Planning!J444,60)))</f>
        <v>0</v>
      </c>
      <c r="N446" s="7" t="str">
        <f t="shared" si="57"/>
        <v>min</v>
      </c>
      <c r="O446" s="36">
        <f>(IF(OR(A446="DWF",A446="DNF"),Données_Planning!J444,MOD(Données_Planning!J444,60)))</f>
        <v>0</v>
      </c>
      <c r="P446" s="28" t="str">
        <f t="shared" si="58"/>
        <v>s</v>
      </c>
      <c r="Q446" s="37">
        <f>(IF(OR(A446="DWF",A446="DNF"),0,QUOTIENT(Données_Planning!I444,60)))</f>
        <v>0</v>
      </c>
      <c r="R446" s="7" t="str">
        <f t="shared" si="59"/>
        <v>min</v>
      </c>
      <c r="S446" s="36">
        <f>(IF(OR(A446="DWF",A446="DNF"),Données_Planning!I444,MOD(Données_Planning!I444,60)))</f>
        <v>0</v>
      </c>
      <c r="T446" s="28" t="str">
        <f t="shared" si="60"/>
        <v>s</v>
      </c>
      <c r="U446" s="37">
        <f>(IF(OR(A446="DWF",A446="DNF"),0,QUOTIENT(Données_Planning!K444,60)))</f>
        <v>0</v>
      </c>
      <c r="V446" s="7" t="str">
        <f t="shared" si="61"/>
        <v>min</v>
      </c>
      <c r="W446" s="36">
        <f>(IF(OR(A446="DWF",A446="DNF"),Données_Planning!K444,MOD(Données_Planning!K444,60)))</f>
        <v>0</v>
      </c>
      <c r="X446" s="38" t="str">
        <f t="shared" si="62"/>
        <v>s</v>
      </c>
      <c r="Y446" s="42"/>
    </row>
    <row r="447" spans="1:25" ht="15.75" x14ac:dyDescent="0.25">
      <c r="A447" s="4">
        <f>Données_Planning!A445</f>
        <v>0</v>
      </c>
      <c r="B447" s="6">
        <f>Données_Planning!B445</f>
        <v>0</v>
      </c>
      <c r="C447" s="28">
        <f>Données_Planning!C445</f>
        <v>0</v>
      </c>
      <c r="D447" s="50">
        <f t="shared" si="54"/>
        <v>0</v>
      </c>
      <c r="E447" s="51">
        <f t="shared" si="55"/>
        <v>0</v>
      </c>
      <c r="F447" s="52">
        <f t="shared" si="56"/>
        <v>0</v>
      </c>
      <c r="G447" s="47">
        <f>Données_Planning!L445</f>
        <v>0</v>
      </c>
      <c r="H447" s="18">
        <f>Données_Planning!H445</f>
        <v>0</v>
      </c>
      <c r="I447" s="5">
        <f>Données_Planning!D445</f>
        <v>0</v>
      </c>
      <c r="J447" s="22">
        <f>Données_Planning!F445</f>
        <v>0</v>
      </c>
      <c r="K447" s="22">
        <f>Données_Planning!E445</f>
        <v>0</v>
      </c>
      <c r="L447" s="35">
        <f>Données_Planning!G445</f>
        <v>0</v>
      </c>
      <c r="M447" s="37">
        <f>(IF(OR(A447="DWF",A447="DNF"),0,QUOTIENT(Données_Planning!J445,60)))</f>
        <v>0</v>
      </c>
      <c r="N447" s="7" t="str">
        <f t="shared" si="57"/>
        <v>min</v>
      </c>
      <c r="O447" s="36">
        <f>(IF(OR(A447="DWF",A447="DNF"),Données_Planning!J445,MOD(Données_Planning!J445,60)))</f>
        <v>0</v>
      </c>
      <c r="P447" s="28" t="str">
        <f t="shared" si="58"/>
        <v>s</v>
      </c>
      <c r="Q447" s="37">
        <f>(IF(OR(A447="DWF",A447="DNF"),0,QUOTIENT(Données_Planning!I445,60)))</f>
        <v>0</v>
      </c>
      <c r="R447" s="7" t="str">
        <f t="shared" si="59"/>
        <v>min</v>
      </c>
      <c r="S447" s="36">
        <f>(IF(OR(A447="DWF",A447="DNF"),Données_Planning!I445,MOD(Données_Planning!I445,60)))</f>
        <v>0</v>
      </c>
      <c r="T447" s="28" t="str">
        <f t="shared" si="60"/>
        <v>s</v>
      </c>
      <c r="U447" s="37">
        <f>(IF(OR(A447="DWF",A447="DNF"),0,QUOTIENT(Données_Planning!K445,60)))</f>
        <v>0</v>
      </c>
      <c r="V447" s="7" t="str">
        <f t="shared" si="61"/>
        <v>min</v>
      </c>
      <c r="W447" s="36">
        <f>(IF(OR(A447="DWF",A447="DNF"),Données_Planning!K445,MOD(Données_Planning!K445,60)))</f>
        <v>0</v>
      </c>
      <c r="X447" s="38" t="str">
        <f t="shared" si="62"/>
        <v>s</v>
      </c>
      <c r="Y447" s="42"/>
    </row>
    <row r="448" spans="1:25" ht="15.75" x14ac:dyDescent="0.25">
      <c r="A448" s="4">
        <f>Données_Planning!A446</f>
        <v>0</v>
      </c>
      <c r="B448" s="6">
        <f>Données_Planning!B446</f>
        <v>0</v>
      </c>
      <c r="C448" s="28">
        <f>Données_Planning!C446</f>
        <v>0</v>
      </c>
      <c r="D448" s="50">
        <f t="shared" si="54"/>
        <v>0</v>
      </c>
      <c r="E448" s="51">
        <f t="shared" si="55"/>
        <v>0</v>
      </c>
      <c r="F448" s="52">
        <f t="shared" si="56"/>
        <v>0</v>
      </c>
      <c r="G448" s="47">
        <f>Données_Planning!L446</f>
        <v>0</v>
      </c>
      <c r="H448" s="18">
        <f>Données_Planning!H446</f>
        <v>0</v>
      </c>
      <c r="I448" s="5">
        <f>Données_Planning!D446</f>
        <v>0</v>
      </c>
      <c r="J448" s="22">
        <f>Données_Planning!F446</f>
        <v>0</v>
      </c>
      <c r="K448" s="22">
        <f>Données_Planning!E446</f>
        <v>0</v>
      </c>
      <c r="L448" s="35">
        <f>Données_Planning!G446</f>
        <v>0</v>
      </c>
      <c r="M448" s="37">
        <f>(IF(OR(A448="DWF",A448="DNF"),0,QUOTIENT(Données_Planning!J446,60)))</f>
        <v>0</v>
      </c>
      <c r="N448" s="7" t="str">
        <f t="shared" si="57"/>
        <v>min</v>
      </c>
      <c r="O448" s="36">
        <f>(IF(OR(A448="DWF",A448="DNF"),Données_Planning!J446,MOD(Données_Planning!J446,60)))</f>
        <v>0</v>
      </c>
      <c r="P448" s="28" t="str">
        <f t="shared" si="58"/>
        <v>s</v>
      </c>
      <c r="Q448" s="37">
        <f>(IF(OR(A448="DWF",A448="DNF"),0,QUOTIENT(Données_Planning!I446,60)))</f>
        <v>0</v>
      </c>
      <c r="R448" s="7" t="str">
        <f t="shared" si="59"/>
        <v>min</v>
      </c>
      <c r="S448" s="36">
        <f>(IF(OR(A448="DWF",A448="DNF"),Données_Planning!I446,MOD(Données_Planning!I446,60)))</f>
        <v>0</v>
      </c>
      <c r="T448" s="28" t="str">
        <f t="shared" si="60"/>
        <v>s</v>
      </c>
      <c r="U448" s="37">
        <f>(IF(OR(A448="DWF",A448="DNF"),0,QUOTIENT(Données_Planning!K446,60)))</f>
        <v>0</v>
      </c>
      <c r="V448" s="7" t="str">
        <f t="shared" si="61"/>
        <v>min</v>
      </c>
      <c r="W448" s="36">
        <f>(IF(OR(A448="DWF",A448="DNF"),Données_Planning!K446,MOD(Données_Planning!K446,60)))</f>
        <v>0</v>
      </c>
      <c r="X448" s="38" t="str">
        <f t="shared" si="62"/>
        <v>s</v>
      </c>
      <c r="Y448" s="42"/>
    </row>
    <row r="449" spans="1:25" ht="15.75" x14ac:dyDescent="0.25">
      <c r="A449" s="4">
        <f>Données_Planning!A447</f>
        <v>0</v>
      </c>
      <c r="B449" s="6">
        <f>Données_Planning!B447</f>
        <v>0</v>
      </c>
      <c r="C449" s="28">
        <f>Données_Planning!C447</f>
        <v>0</v>
      </c>
      <c r="D449" s="50">
        <f t="shared" si="54"/>
        <v>0</v>
      </c>
      <c r="E449" s="51">
        <f t="shared" si="55"/>
        <v>0</v>
      </c>
      <c r="F449" s="52">
        <f t="shared" si="56"/>
        <v>0</v>
      </c>
      <c r="G449" s="47">
        <f>Données_Planning!L447</f>
        <v>0</v>
      </c>
      <c r="H449" s="18">
        <f>Données_Planning!H447</f>
        <v>0</v>
      </c>
      <c r="I449" s="5">
        <f>Données_Planning!D447</f>
        <v>0</v>
      </c>
      <c r="J449" s="22">
        <f>Données_Planning!F447</f>
        <v>0</v>
      </c>
      <c r="K449" s="22">
        <f>Données_Planning!E447</f>
        <v>0</v>
      </c>
      <c r="L449" s="35">
        <f>Données_Planning!G447</f>
        <v>0</v>
      </c>
      <c r="M449" s="37">
        <f>(IF(OR(A449="DWF",A449="DNF"),0,QUOTIENT(Données_Planning!J447,60)))</f>
        <v>0</v>
      </c>
      <c r="N449" s="7" t="str">
        <f t="shared" si="57"/>
        <v>min</v>
      </c>
      <c r="O449" s="36">
        <f>(IF(OR(A449="DWF",A449="DNF"),Données_Planning!J447,MOD(Données_Planning!J447,60)))</f>
        <v>0</v>
      </c>
      <c r="P449" s="28" t="str">
        <f t="shared" si="58"/>
        <v>s</v>
      </c>
      <c r="Q449" s="37">
        <f>(IF(OR(A449="DWF",A449="DNF"),0,QUOTIENT(Données_Planning!I447,60)))</f>
        <v>0</v>
      </c>
      <c r="R449" s="7" t="str">
        <f t="shared" si="59"/>
        <v>min</v>
      </c>
      <c r="S449" s="36">
        <f>(IF(OR(A449="DWF",A449="DNF"),Données_Planning!I447,MOD(Données_Planning!I447,60)))</f>
        <v>0</v>
      </c>
      <c r="T449" s="28" t="str">
        <f t="shared" si="60"/>
        <v>s</v>
      </c>
      <c r="U449" s="37">
        <f>(IF(OR(A449="DWF",A449="DNF"),0,QUOTIENT(Données_Planning!K447,60)))</f>
        <v>0</v>
      </c>
      <c r="V449" s="7" t="str">
        <f t="shared" si="61"/>
        <v>min</v>
      </c>
      <c r="W449" s="36">
        <f>(IF(OR(A449="DWF",A449="DNF"),Données_Planning!K447,MOD(Données_Planning!K447,60)))</f>
        <v>0</v>
      </c>
      <c r="X449" s="38" t="str">
        <f t="shared" si="62"/>
        <v>s</v>
      </c>
      <c r="Y449" s="42"/>
    </row>
    <row r="450" spans="1:25" ht="15.75" x14ac:dyDescent="0.25">
      <c r="A450" s="4">
        <f>Données_Planning!A448</f>
        <v>0</v>
      </c>
      <c r="B450" s="6">
        <f>Données_Planning!B448</f>
        <v>0</v>
      </c>
      <c r="C450" s="28">
        <f>Données_Planning!C448</f>
        <v>0</v>
      </c>
      <c r="D450" s="50">
        <f t="shared" si="54"/>
        <v>0</v>
      </c>
      <c r="E450" s="51">
        <f t="shared" si="55"/>
        <v>0</v>
      </c>
      <c r="F450" s="52">
        <f t="shared" si="56"/>
        <v>0</v>
      </c>
      <c r="G450" s="47">
        <f>Données_Planning!L448</f>
        <v>0</v>
      </c>
      <c r="H450" s="18">
        <f>Données_Planning!H448</f>
        <v>0</v>
      </c>
      <c r="I450" s="5">
        <f>Données_Planning!D448</f>
        <v>0</v>
      </c>
      <c r="J450" s="22">
        <f>Données_Planning!F448</f>
        <v>0</v>
      </c>
      <c r="K450" s="22">
        <f>Données_Planning!E448</f>
        <v>0</v>
      </c>
      <c r="L450" s="35">
        <f>Données_Planning!G448</f>
        <v>0</v>
      </c>
      <c r="M450" s="37">
        <f>(IF(OR(A450="DWF",A450="DNF"),0,QUOTIENT(Données_Planning!J448,60)))</f>
        <v>0</v>
      </c>
      <c r="N450" s="7" t="str">
        <f t="shared" si="57"/>
        <v>min</v>
      </c>
      <c r="O450" s="36">
        <f>(IF(OR(A450="DWF",A450="DNF"),Données_Planning!J448,MOD(Données_Planning!J448,60)))</f>
        <v>0</v>
      </c>
      <c r="P450" s="28" t="str">
        <f t="shared" si="58"/>
        <v>s</v>
      </c>
      <c r="Q450" s="37">
        <f>(IF(OR(A450="DWF",A450="DNF"),0,QUOTIENT(Données_Planning!I448,60)))</f>
        <v>0</v>
      </c>
      <c r="R450" s="7" t="str">
        <f t="shared" si="59"/>
        <v>min</v>
      </c>
      <c r="S450" s="36">
        <f>(IF(OR(A450="DWF",A450="DNF"),Données_Planning!I448,MOD(Données_Planning!I448,60)))</f>
        <v>0</v>
      </c>
      <c r="T450" s="28" t="str">
        <f t="shared" si="60"/>
        <v>s</v>
      </c>
      <c r="U450" s="37">
        <f>(IF(OR(A450="DWF",A450="DNF"),0,QUOTIENT(Données_Planning!K448,60)))</f>
        <v>0</v>
      </c>
      <c r="V450" s="7" t="str">
        <f t="shared" si="61"/>
        <v>min</v>
      </c>
      <c r="W450" s="36">
        <f>(IF(OR(A450="DWF",A450="DNF"),Données_Planning!K448,MOD(Données_Planning!K448,60)))</f>
        <v>0</v>
      </c>
      <c r="X450" s="38" t="str">
        <f t="shared" si="62"/>
        <v>s</v>
      </c>
      <c r="Y450" s="42"/>
    </row>
    <row r="451" spans="1:25" ht="15.75" x14ac:dyDescent="0.25">
      <c r="A451" s="4">
        <f>Données_Planning!A449</f>
        <v>0</v>
      </c>
      <c r="B451" s="6">
        <f>Données_Planning!B449</f>
        <v>0</v>
      </c>
      <c r="C451" s="28">
        <f>Données_Planning!C449</f>
        <v>0</v>
      </c>
      <c r="D451" s="50">
        <f t="shared" si="54"/>
        <v>0</v>
      </c>
      <c r="E451" s="51">
        <f t="shared" si="55"/>
        <v>0</v>
      </c>
      <c r="F451" s="52">
        <f t="shared" si="56"/>
        <v>0</v>
      </c>
      <c r="G451" s="47">
        <f>Données_Planning!L449</f>
        <v>0</v>
      </c>
      <c r="H451" s="18">
        <f>Données_Planning!H449</f>
        <v>0</v>
      </c>
      <c r="I451" s="5">
        <f>Données_Planning!D449</f>
        <v>0</v>
      </c>
      <c r="J451" s="22">
        <f>Données_Planning!F449</f>
        <v>0</v>
      </c>
      <c r="K451" s="22">
        <f>Données_Planning!E449</f>
        <v>0</v>
      </c>
      <c r="L451" s="35">
        <f>Données_Planning!G449</f>
        <v>0</v>
      </c>
      <c r="M451" s="37">
        <f>(IF(OR(A451="DWF",A451="DNF"),0,QUOTIENT(Données_Planning!J449,60)))</f>
        <v>0</v>
      </c>
      <c r="N451" s="7" t="str">
        <f t="shared" si="57"/>
        <v>min</v>
      </c>
      <c r="O451" s="36">
        <f>(IF(OR(A451="DWF",A451="DNF"),Données_Planning!J449,MOD(Données_Planning!J449,60)))</f>
        <v>0</v>
      </c>
      <c r="P451" s="28" t="str">
        <f t="shared" si="58"/>
        <v>s</v>
      </c>
      <c r="Q451" s="37">
        <f>(IF(OR(A451="DWF",A451="DNF"),0,QUOTIENT(Données_Planning!I449,60)))</f>
        <v>0</v>
      </c>
      <c r="R451" s="7" t="str">
        <f t="shared" si="59"/>
        <v>min</v>
      </c>
      <c r="S451" s="36">
        <f>(IF(OR(A451="DWF",A451="DNF"),Données_Planning!I449,MOD(Données_Planning!I449,60)))</f>
        <v>0</v>
      </c>
      <c r="T451" s="28" t="str">
        <f t="shared" si="60"/>
        <v>s</v>
      </c>
      <c r="U451" s="37">
        <f>(IF(OR(A451="DWF",A451="DNF"),0,QUOTIENT(Données_Planning!K449,60)))</f>
        <v>0</v>
      </c>
      <c r="V451" s="7" t="str">
        <f t="shared" si="61"/>
        <v>min</v>
      </c>
      <c r="W451" s="36">
        <f>(IF(OR(A451="DWF",A451="DNF"),Données_Planning!K449,MOD(Données_Planning!K449,60)))</f>
        <v>0</v>
      </c>
      <c r="X451" s="38" t="str">
        <f t="shared" si="62"/>
        <v>s</v>
      </c>
      <c r="Y451" s="42"/>
    </row>
    <row r="452" spans="1:25" ht="15.75" x14ac:dyDescent="0.25">
      <c r="A452" s="4">
        <f>Données_Planning!A450</f>
        <v>0</v>
      </c>
      <c r="B452" s="6">
        <f>Données_Planning!B450</f>
        <v>0</v>
      </c>
      <c r="C452" s="28">
        <f>Données_Planning!C450</f>
        <v>0</v>
      </c>
      <c r="D452" s="50">
        <f t="shared" si="54"/>
        <v>0</v>
      </c>
      <c r="E452" s="51">
        <f t="shared" si="55"/>
        <v>0</v>
      </c>
      <c r="F452" s="52">
        <f t="shared" si="56"/>
        <v>0</v>
      </c>
      <c r="G452" s="47">
        <f>Données_Planning!L450</f>
        <v>0</v>
      </c>
      <c r="H452" s="18">
        <f>Données_Planning!H450</f>
        <v>0</v>
      </c>
      <c r="I452" s="5">
        <f>Données_Planning!D450</f>
        <v>0</v>
      </c>
      <c r="J452" s="22">
        <f>Données_Planning!F450</f>
        <v>0</v>
      </c>
      <c r="K452" s="22">
        <f>Données_Planning!E450</f>
        <v>0</v>
      </c>
      <c r="L452" s="35">
        <f>Données_Planning!G450</f>
        <v>0</v>
      </c>
      <c r="M452" s="37">
        <f>(IF(OR(A452="DWF",A452="DNF"),0,QUOTIENT(Données_Planning!J450,60)))</f>
        <v>0</v>
      </c>
      <c r="N452" s="7" t="str">
        <f t="shared" si="57"/>
        <v>min</v>
      </c>
      <c r="O452" s="36">
        <f>(IF(OR(A452="DWF",A452="DNF"),Données_Planning!J450,MOD(Données_Planning!J450,60)))</f>
        <v>0</v>
      </c>
      <c r="P452" s="28" t="str">
        <f t="shared" si="58"/>
        <v>s</v>
      </c>
      <c r="Q452" s="37">
        <f>(IF(OR(A452="DWF",A452="DNF"),0,QUOTIENT(Données_Planning!I450,60)))</f>
        <v>0</v>
      </c>
      <c r="R452" s="7" t="str">
        <f t="shared" si="59"/>
        <v>min</v>
      </c>
      <c r="S452" s="36">
        <f>(IF(OR(A452="DWF",A452="DNF"),Données_Planning!I450,MOD(Données_Planning!I450,60)))</f>
        <v>0</v>
      </c>
      <c r="T452" s="28" t="str">
        <f t="shared" si="60"/>
        <v>s</v>
      </c>
      <c r="U452" s="37">
        <f>(IF(OR(A452="DWF",A452="DNF"),0,QUOTIENT(Données_Planning!K450,60)))</f>
        <v>0</v>
      </c>
      <c r="V452" s="7" t="str">
        <f t="shared" si="61"/>
        <v>min</v>
      </c>
      <c r="W452" s="36">
        <f>(IF(OR(A452="DWF",A452="DNF"),Données_Planning!K450,MOD(Données_Planning!K450,60)))</f>
        <v>0</v>
      </c>
      <c r="X452" s="38" t="str">
        <f t="shared" si="62"/>
        <v>s</v>
      </c>
      <c r="Y452" s="42"/>
    </row>
    <row r="453" spans="1:25" ht="15.75" x14ac:dyDescent="0.25">
      <c r="A453" s="4">
        <f>Données_Planning!A451</f>
        <v>0</v>
      </c>
      <c r="B453" s="6">
        <f>Données_Planning!B451</f>
        <v>0</v>
      </c>
      <c r="C453" s="28">
        <f>Données_Planning!C451</f>
        <v>0</v>
      </c>
      <c r="D453" s="50">
        <f t="shared" ref="D453:D516" si="63">IF(G453 -TIME(0,$D$3,0)&gt;0, G453 -TIME(0,$D$3,0), 0)</f>
        <v>0</v>
      </c>
      <c r="E453" s="51">
        <f t="shared" ref="E453:E516" si="64">IF(G453 -TIME(0,$E$3,0)&gt;0, G453 -TIME(0,$E$3,0), 0)</f>
        <v>0</v>
      </c>
      <c r="F453" s="52">
        <f t="shared" ref="F453:F516" si="65">IF(G453 -TIME(0,$F$3,0)&gt;0, G453 -TIME(0,$F$3,0), 0)</f>
        <v>0</v>
      </c>
      <c r="G453" s="47">
        <f>Données_Planning!L451</f>
        <v>0</v>
      </c>
      <c r="H453" s="18">
        <f>Données_Planning!H451</f>
        <v>0</v>
      </c>
      <c r="I453" s="5">
        <f>Données_Planning!D451</f>
        <v>0</v>
      </c>
      <c r="J453" s="22">
        <f>Données_Planning!F451</f>
        <v>0</v>
      </c>
      <c r="K453" s="22">
        <f>Données_Planning!E451</f>
        <v>0</v>
      </c>
      <c r="L453" s="35">
        <f>Données_Planning!G451</f>
        <v>0</v>
      </c>
      <c r="M453" s="37">
        <f>(IF(OR(A453="DWF",A453="DNF"),0,QUOTIENT(Données_Planning!J451,60)))</f>
        <v>0</v>
      </c>
      <c r="N453" s="7" t="str">
        <f t="shared" ref="N453:N516" si="66">(IF(OR(A453="DWF",A453="DNF"),0,"min"))</f>
        <v>min</v>
      </c>
      <c r="O453" s="36">
        <f>(IF(OR(A453="DWF",A453="DNF"),Données_Planning!J451,MOD(Données_Planning!J451,60)))</f>
        <v>0</v>
      </c>
      <c r="P453" s="28" t="str">
        <f t="shared" ref="P453:P516" si="67">(IF(OR(A453="DWF",A453="DNF"),"m","s"))</f>
        <v>s</v>
      </c>
      <c r="Q453" s="37">
        <f>(IF(OR(A453="DWF",A453="DNF"),0,QUOTIENT(Données_Planning!I451,60)))</f>
        <v>0</v>
      </c>
      <c r="R453" s="7" t="str">
        <f t="shared" ref="R453:R516" si="68">(IF(OR(A453="DWF",A453="DNF"),0,"min"))</f>
        <v>min</v>
      </c>
      <c r="S453" s="36">
        <f>(IF(OR(A453="DWF",A453="DNF"),Données_Planning!I451,MOD(Données_Planning!I451,60)))</f>
        <v>0</v>
      </c>
      <c r="T453" s="28" t="str">
        <f t="shared" ref="T453:T516" si="69">(IF(OR(A453="DWF",A453="DNF"),"m","s"))</f>
        <v>s</v>
      </c>
      <c r="U453" s="37">
        <f>(IF(OR(A453="DWF",A453="DNF"),0,QUOTIENT(Données_Planning!K451,60)))</f>
        <v>0</v>
      </c>
      <c r="V453" s="7" t="str">
        <f t="shared" ref="V453:V516" si="70">(IF(OR(A453="DWF",A453="DNF"),0,"min"))</f>
        <v>min</v>
      </c>
      <c r="W453" s="36">
        <f>(IF(OR(A453="DWF",A453="DNF"),Données_Planning!K451,MOD(Données_Planning!K451,60)))</f>
        <v>0</v>
      </c>
      <c r="X453" s="38" t="str">
        <f t="shared" ref="X453:X516" si="71">(IF(OR(A453="DWF",A453="DNF"),"m","s"))</f>
        <v>s</v>
      </c>
      <c r="Y453" s="42"/>
    </row>
    <row r="454" spans="1:25" ht="15.75" x14ac:dyDescent="0.25">
      <c r="A454" s="4">
        <f>Données_Planning!A452</f>
        <v>0</v>
      </c>
      <c r="B454" s="6">
        <f>Données_Planning!B452</f>
        <v>0</v>
      </c>
      <c r="C454" s="28">
        <f>Données_Planning!C452</f>
        <v>0</v>
      </c>
      <c r="D454" s="50">
        <f t="shared" si="63"/>
        <v>0</v>
      </c>
      <c r="E454" s="51">
        <f t="shared" si="64"/>
        <v>0</v>
      </c>
      <c r="F454" s="52">
        <f t="shared" si="65"/>
        <v>0</v>
      </c>
      <c r="G454" s="47">
        <f>Données_Planning!L452</f>
        <v>0</v>
      </c>
      <c r="H454" s="18">
        <f>Données_Planning!H452</f>
        <v>0</v>
      </c>
      <c r="I454" s="5">
        <f>Données_Planning!D452</f>
        <v>0</v>
      </c>
      <c r="J454" s="22">
        <f>Données_Planning!F452</f>
        <v>0</v>
      </c>
      <c r="K454" s="22">
        <f>Données_Planning!E452</f>
        <v>0</v>
      </c>
      <c r="L454" s="35">
        <f>Données_Planning!G452</f>
        <v>0</v>
      </c>
      <c r="M454" s="37">
        <f>(IF(OR(A454="DWF",A454="DNF"),0,QUOTIENT(Données_Planning!J452,60)))</f>
        <v>0</v>
      </c>
      <c r="N454" s="7" t="str">
        <f t="shared" si="66"/>
        <v>min</v>
      </c>
      <c r="O454" s="36">
        <f>(IF(OR(A454="DWF",A454="DNF"),Données_Planning!J452,MOD(Données_Planning!J452,60)))</f>
        <v>0</v>
      </c>
      <c r="P454" s="28" t="str">
        <f t="shared" si="67"/>
        <v>s</v>
      </c>
      <c r="Q454" s="37">
        <f>(IF(OR(A454="DWF",A454="DNF"),0,QUOTIENT(Données_Planning!I452,60)))</f>
        <v>0</v>
      </c>
      <c r="R454" s="7" t="str">
        <f t="shared" si="68"/>
        <v>min</v>
      </c>
      <c r="S454" s="36">
        <f>(IF(OR(A454="DWF",A454="DNF"),Données_Planning!I452,MOD(Données_Planning!I452,60)))</f>
        <v>0</v>
      </c>
      <c r="T454" s="28" t="str">
        <f t="shared" si="69"/>
        <v>s</v>
      </c>
      <c r="U454" s="37">
        <f>(IF(OR(A454="DWF",A454="DNF"),0,QUOTIENT(Données_Planning!K452,60)))</f>
        <v>0</v>
      </c>
      <c r="V454" s="7" t="str">
        <f t="shared" si="70"/>
        <v>min</v>
      </c>
      <c r="W454" s="36">
        <f>(IF(OR(A454="DWF",A454="DNF"),Données_Planning!K452,MOD(Données_Planning!K452,60)))</f>
        <v>0</v>
      </c>
      <c r="X454" s="38" t="str">
        <f t="shared" si="71"/>
        <v>s</v>
      </c>
      <c r="Y454" s="42"/>
    </row>
    <row r="455" spans="1:25" ht="15.75" x14ac:dyDescent="0.25">
      <c r="A455" s="4">
        <f>Données_Planning!A453</f>
        <v>0</v>
      </c>
      <c r="B455" s="6">
        <f>Données_Planning!B453</f>
        <v>0</v>
      </c>
      <c r="C455" s="28">
        <f>Données_Planning!C453</f>
        <v>0</v>
      </c>
      <c r="D455" s="50">
        <f t="shared" si="63"/>
        <v>0</v>
      </c>
      <c r="E455" s="51">
        <f t="shared" si="64"/>
        <v>0</v>
      </c>
      <c r="F455" s="52">
        <f t="shared" si="65"/>
        <v>0</v>
      </c>
      <c r="G455" s="47">
        <f>Données_Planning!L453</f>
        <v>0</v>
      </c>
      <c r="H455" s="18">
        <f>Données_Planning!H453</f>
        <v>0</v>
      </c>
      <c r="I455" s="5">
        <f>Données_Planning!D453</f>
        <v>0</v>
      </c>
      <c r="J455" s="22">
        <f>Données_Planning!F453</f>
        <v>0</v>
      </c>
      <c r="K455" s="22">
        <f>Données_Planning!E453</f>
        <v>0</v>
      </c>
      <c r="L455" s="35">
        <f>Données_Planning!G453</f>
        <v>0</v>
      </c>
      <c r="M455" s="37">
        <f>(IF(OR(A455="DWF",A455="DNF"),0,QUOTIENT(Données_Planning!J453,60)))</f>
        <v>0</v>
      </c>
      <c r="N455" s="7" t="str">
        <f t="shared" si="66"/>
        <v>min</v>
      </c>
      <c r="O455" s="36">
        <f>(IF(OR(A455="DWF",A455="DNF"),Données_Planning!J453,MOD(Données_Planning!J453,60)))</f>
        <v>0</v>
      </c>
      <c r="P455" s="28" t="str">
        <f t="shared" si="67"/>
        <v>s</v>
      </c>
      <c r="Q455" s="37">
        <f>(IF(OR(A455="DWF",A455="DNF"),0,QUOTIENT(Données_Planning!I453,60)))</f>
        <v>0</v>
      </c>
      <c r="R455" s="7" t="str">
        <f t="shared" si="68"/>
        <v>min</v>
      </c>
      <c r="S455" s="36">
        <f>(IF(OR(A455="DWF",A455="DNF"),Données_Planning!I453,MOD(Données_Planning!I453,60)))</f>
        <v>0</v>
      </c>
      <c r="T455" s="28" t="str">
        <f t="shared" si="69"/>
        <v>s</v>
      </c>
      <c r="U455" s="37">
        <f>(IF(OR(A455="DWF",A455="DNF"),0,QUOTIENT(Données_Planning!K453,60)))</f>
        <v>0</v>
      </c>
      <c r="V455" s="7" t="str">
        <f t="shared" si="70"/>
        <v>min</v>
      </c>
      <c r="W455" s="36">
        <f>(IF(OR(A455="DWF",A455="DNF"),Données_Planning!K453,MOD(Données_Planning!K453,60)))</f>
        <v>0</v>
      </c>
      <c r="X455" s="38" t="str">
        <f t="shared" si="71"/>
        <v>s</v>
      </c>
      <c r="Y455" s="42"/>
    </row>
    <row r="456" spans="1:25" ht="15.75" x14ac:dyDescent="0.25">
      <c r="A456" s="4">
        <f>Données_Planning!A454</f>
        <v>0</v>
      </c>
      <c r="B456" s="6">
        <f>Données_Planning!B454</f>
        <v>0</v>
      </c>
      <c r="C456" s="28">
        <f>Données_Planning!C454</f>
        <v>0</v>
      </c>
      <c r="D456" s="50">
        <f t="shared" si="63"/>
        <v>0</v>
      </c>
      <c r="E456" s="51">
        <f t="shared" si="64"/>
        <v>0</v>
      </c>
      <c r="F456" s="52">
        <f t="shared" si="65"/>
        <v>0</v>
      </c>
      <c r="G456" s="47">
        <f>Données_Planning!L454</f>
        <v>0</v>
      </c>
      <c r="H456" s="18">
        <f>Données_Planning!H454</f>
        <v>0</v>
      </c>
      <c r="I456" s="5">
        <f>Données_Planning!D454</f>
        <v>0</v>
      </c>
      <c r="J456" s="22">
        <f>Données_Planning!F454</f>
        <v>0</v>
      </c>
      <c r="K456" s="22">
        <f>Données_Planning!E454</f>
        <v>0</v>
      </c>
      <c r="L456" s="35">
        <f>Données_Planning!G454</f>
        <v>0</v>
      </c>
      <c r="M456" s="37">
        <f>(IF(OR(A456="DWF",A456="DNF"),0,QUOTIENT(Données_Planning!J454,60)))</f>
        <v>0</v>
      </c>
      <c r="N456" s="7" t="str">
        <f t="shared" si="66"/>
        <v>min</v>
      </c>
      <c r="O456" s="36">
        <f>(IF(OR(A456="DWF",A456="DNF"),Données_Planning!J454,MOD(Données_Planning!J454,60)))</f>
        <v>0</v>
      </c>
      <c r="P456" s="28" t="str">
        <f t="shared" si="67"/>
        <v>s</v>
      </c>
      <c r="Q456" s="37">
        <f>(IF(OR(A456="DWF",A456="DNF"),0,QUOTIENT(Données_Planning!I454,60)))</f>
        <v>0</v>
      </c>
      <c r="R456" s="7" t="str">
        <f t="shared" si="68"/>
        <v>min</v>
      </c>
      <c r="S456" s="36">
        <f>(IF(OR(A456="DWF",A456="DNF"),Données_Planning!I454,MOD(Données_Planning!I454,60)))</f>
        <v>0</v>
      </c>
      <c r="T456" s="28" t="str">
        <f t="shared" si="69"/>
        <v>s</v>
      </c>
      <c r="U456" s="37">
        <f>(IF(OR(A456="DWF",A456="DNF"),0,QUOTIENT(Données_Planning!K454,60)))</f>
        <v>0</v>
      </c>
      <c r="V456" s="7" t="str">
        <f t="shared" si="70"/>
        <v>min</v>
      </c>
      <c r="W456" s="36">
        <f>(IF(OR(A456="DWF",A456="DNF"),Données_Planning!K454,MOD(Données_Planning!K454,60)))</f>
        <v>0</v>
      </c>
      <c r="X456" s="38" t="str">
        <f t="shared" si="71"/>
        <v>s</v>
      </c>
      <c r="Y456" s="42"/>
    </row>
    <row r="457" spans="1:25" ht="15.75" x14ac:dyDescent="0.25">
      <c r="A457" s="4">
        <f>Données_Planning!A455</f>
        <v>0</v>
      </c>
      <c r="B457" s="6">
        <f>Données_Planning!B455</f>
        <v>0</v>
      </c>
      <c r="C457" s="28">
        <f>Données_Planning!C455</f>
        <v>0</v>
      </c>
      <c r="D457" s="50">
        <f t="shared" si="63"/>
        <v>0</v>
      </c>
      <c r="E457" s="51">
        <f t="shared" si="64"/>
        <v>0</v>
      </c>
      <c r="F457" s="52">
        <f t="shared" si="65"/>
        <v>0</v>
      </c>
      <c r="G457" s="47">
        <f>Données_Planning!L455</f>
        <v>0</v>
      </c>
      <c r="H457" s="18">
        <f>Données_Planning!H455</f>
        <v>0</v>
      </c>
      <c r="I457" s="5">
        <f>Données_Planning!D455</f>
        <v>0</v>
      </c>
      <c r="J457" s="22">
        <f>Données_Planning!F455</f>
        <v>0</v>
      </c>
      <c r="K457" s="22">
        <f>Données_Planning!E455</f>
        <v>0</v>
      </c>
      <c r="L457" s="35">
        <f>Données_Planning!G455</f>
        <v>0</v>
      </c>
      <c r="M457" s="37">
        <f>(IF(OR(A457="DWF",A457="DNF"),0,QUOTIENT(Données_Planning!J455,60)))</f>
        <v>0</v>
      </c>
      <c r="N457" s="7" t="str">
        <f t="shared" si="66"/>
        <v>min</v>
      </c>
      <c r="O457" s="36">
        <f>(IF(OR(A457="DWF",A457="DNF"),Données_Planning!J455,MOD(Données_Planning!J455,60)))</f>
        <v>0</v>
      </c>
      <c r="P457" s="28" t="str">
        <f t="shared" si="67"/>
        <v>s</v>
      </c>
      <c r="Q457" s="37">
        <f>(IF(OR(A457="DWF",A457="DNF"),0,QUOTIENT(Données_Planning!I455,60)))</f>
        <v>0</v>
      </c>
      <c r="R457" s="7" t="str">
        <f t="shared" si="68"/>
        <v>min</v>
      </c>
      <c r="S457" s="36">
        <f>(IF(OR(A457="DWF",A457="DNF"),Données_Planning!I455,MOD(Données_Planning!I455,60)))</f>
        <v>0</v>
      </c>
      <c r="T457" s="28" t="str">
        <f t="shared" si="69"/>
        <v>s</v>
      </c>
      <c r="U457" s="37">
        <f>(IF(OR(A457="DWF",A457="DNF"),0,QUOTIENT(Données_Planning!K455,60)))</f>
        <v>0</v>
      </c>
      <c r="V457" s="7" t="str">
        <f t="shared" si="70"/>
        <v>min</v>
      </c>
      <c r="W457" s="36">
        <f>(IF(OR(A457="DWF",A457="DNF"),Données_Planning!K455,MOD(Données_Planning!K455,60)))</f>
        <v>0</v>
      </c>
      <c r="X457" s="38" t="str">
        <f t="shared" si="71"/>
        <v>s</v>
      </c>
      <c r="Y457" s="42"/>
    </row>
    <row r="458" spans="1:25" ht="15.75" x14ac:dyDescent="0.25">
      <c r="A458" s="4">
        <f>Données_Planning!A456</f>
        <v>0</v>
      </c>
      <c r="B458" s="6">
        <f>Données_Planning!B456</f>
        <v>0</v>
      </c>
      <c r="C458" s="28">
        <f>Données_Planning!C456</f>
        <v>0</v>
      </c>
      <c r="D458" s="50">
        <f t="shared" si="63"/>
        <v>0</v>
      </c>
      <c r="E458" s="51">
        <f t="shared" si="64"/>
        <v>0</v>
      </c>
      <c r="F458" s="52">
        <f t="shared" si="65"/>
        <v>0</v>
      </c>
      <c r="G458" s="47">
        <f>Données_Planning!L456</f>
        <v>0</v>
      </c>
      <c r="H458" s="18">
        <f>Données_Planning!H456</f>
        <v>0</v>
      </c>
      <c r="I458" s="5">
        <f>Données_Planning!D456</f>
        <v>0</v>
      </c>
      <c r="J458" s="22">
        <f>Données_Planning!F456</f>
        <v>0</v>
      </c>
      <c r="K458" s="22">
        <f>Données_Planning!E456</f>
        <v>0</v>
      </c>
      <c r="L458" s="35">
        <f>Données_Planning!G456</f>
        <v>0</v>
      </c>
      <c r="M458" s="37">
        <f>(IF(OR(A458="DWF",A458="DNF"),0,QUOTIENT(Données_Planning!J456,60)))</f>
        <v>0</v>
      </c>
      <c r="N458" s="7" t="str">
        <f t="shared" si="66"/>
        <v>min</v>
      </c>
      <c r="O458" s="36">
        <f>(IF(OR(A458="DWF",A458="DNF"),Données_Planning!J456,MOD(Données_Planning!J456,60)))</f>
        <v>0</v>
      </c>
      <c r="P458" s="28" t="str">
        <f t="shared" si="67"/>
        <v>s</v>
      </c>
      <c r="Q458" s="37">
        <f>(IF(OR(A458="DWF",A458="DNF"),0,QUOTIENT(Données_Planning!I456,60)))</f>
        <v>0</v>
      </c>
      <c r="R458" s="7" t="str">
        <f t="shared" si="68"/>
        <v>min</v>
      </c>
      <c r="S458" s="36">
        <f>(IF(OR(A458="DWF",A458="DNF"),Données_Planning!I456,MOD(Données_Planning!I456,60)))</f>
        <v>0</v>
      </c>
      <c r="T458" s="28" t="str">
        <f t="shared" si="69"/>
        <v>s</v>
      </c>
      <c r="U458" s="37">
        <f>(IF(OR(A458="DWF",A458="DNF"),0,QUOTIENT(Données_Planning!K456,60)))</f>
        <v>0</v>
      </c>
      <c r="V458" s="7" t="str">
        <f t="shared" si="70"/>
        <v>min</v>
      </c>
      <c r="W458" s="36">
        <f>(IF(OR(A458="DWF",A458="DNF"),Données_Planning!K456,MOD(Données_Planning!K456,60)))</f>
        <v>0</v>
      </c>
      <c r="X458" s="38" t="str">
        <f t="shared" si="71"/>
        <v>s</v>
      </c>
      <c r="Y458" s="42"/>
    </row>
    <row r="459" spans="1:25" ht="15.75" x14ac:dyDescent="0.25">
      <c r="A459" s="4">
        <f>Données_Planning!A457</f>
        <v>0</v>
      </c>
      <c r="B459" s="6">
        <f>Données_Planning!B457</f>
        <v>0</v>
      </c>
      <c r="C459" s="28">
        <f>Données_Planning!C457</f>
        <v>0</v>
      </c>
      <c r="D459" s="50">
        <f t="shared" si="63"/>
        <v>0</v>
      </c>
      <c r="E459" s="51">
        <f t="shared" si="64"/>
        <v>0</v>
      </c>
      <c r="F459" s="52">
        <f t="shared" si="65"/>
        <v>0</v>
      </c>
      <c r="G459" s="47">
        <f>Données_Planning!L457</f>
        <v>0</v>
      </c>
      <c r="H459" s="18">
        <f>Données_Planning!H457</f>
        <v>0</v>
      </c>
      <c r="I459" s="5">
        <f>Données_Planning!D457</f>
        <v>0</v>
      </c>
      <c r="J459" s="22">
        <f>Données_Planning!F457</f>
        <v>0</v>
      </c>
      <c r="K459" s="22">
        <f>Données_Planning!E457</f>
        <v>0</v>
      </c>
      <c r="L459" s="35">
        <f>Données_Planning!G457</f>
        <v>0</v>
      </c>
      <c r="M459" s="37">
        <f>(IF(OR(A459="DWF",A459="DNF"),0,QUOTIENT(Données_Planning!J457,60)))</f>
        <v>0</v>
      </c>
      <c r="N459" s="7" t="str">
        <f t="shared" si="66"/>
        <v>min</v>
      </c>
      <c r="O459" s="36">
        <f>(IF(OR(A459="DWF",A459="DNF"),Données_Planning!J457,MOD(Données_Planning!J457,60)))</f>
        <v>0</v>
      </c>
      <c r="P459" s="28" t="str">
        <f t="shared" si="67"/>
        <v>s</v>
      </c>
      <c r="Q459" s="37">
        <f>(IF(OR(A459="DWF",A459="DNF"),0,QUOTIENT(Données_Planning!I457,60)))</f>
        <v>0</v>
      </c>
      <c r="R459" s="7" t="str">
        <f t="shared" si="68"/>
        <v>min</v>
      </c>
      <c r="S459" s="36">
        <f>(IF(OR(A459="DWF",A459="DNF"),Données_Planning!I457,MOD(Données_Planning!I457,60)))</f>
        <v>0</v>
      </c>
      <c r="T459" s="28" t="str">
        <f t="shared" si="69"/>
        <v>s</v>
      </c>
      <c r="U459" s="37">
        <f>(IF(OR(A459="DWF",A459="DNF"),0,QUOTIENT(Données_Planning!K457,60)))</f>
        <v>0</v>
      </c>
      <c r="V459" s="7" t="str">
        <f t="shared" si="70"/>
        <v>min</v>
      </c>
      <c r="W459" s="36">
        <f>(IF(OR(A459="DWF",A459="DNF"),Données_Planning!K457,MOD(Données_Planning!K457,60)))</f>
        <v>0</v>
      </c>
      <c r="X459" s="38" t="str">
        <f t="shared" si="71"/>
        <v>s</v>
      </c>
      <c r="Y459" s="42"/>
    </row>
    <row r="460" spans="1:25" ht="15.75" x14ac:dyDescent="0.25">
      <c r="A460" s="4">
        <f>Données_Planning!A458</f>
        <v>0</v>
      </c>
      <c r="B460" s="6">
        <f>Données_Planning!B458</f>
        <v>0</v>
      </c>
      <c r="C460" s="28">
        <f>Données_Planning!C458</f>
        <v>0</v>
      </c>
      <c r="D460" s="50">
        <f t="shared" si="63"/>
        <v>0</v>
      </c>
      <c r="E460" s="51">
        <f t="shared" si="64"/>
        <v>0</v>
      </c>
      <c r="F460" s="52">
        <f t="shared" si="65"/>
        <v>0</v>
      </c>
      <c r="G460" s="47">
        <f>Données_Planning!L458</f>
        <v>0</v>
      </c>
      <c r="H460" s="18">
        <f>Données_Planning!H458</f>
        <v>0</v>
      </c>
      <c r="I460" s="5">
        <f>Données_Planning!D458</f>
        <v>0</v>
      </c>
      <c r="J460" s="22">
        <f>Données_Planning!F458</f>
        <v>0</v>
      </c>
      <c r="K460" s="22">
        <f>Données_Planning!E458</f>
        <v>0</v>
      </c>
      <c r="L460" s="35">
        <f>Données_Planning!G458</f>
        <v>0</v>
      </c>
      <c r="M460" s="37">
        <f>(IF(OR(A460="DWF",A460="DNF"),0,QUOTIENT(Données_Planning!J458,60)))</f>
        <v>0</v>
      </c>
      <c r="N460" s="7" t="str">
        <f t="shared" si="66"/>
        <v>min</v>
      </c>
      <c r="O460" s="36">
        <f>(IF(OR(A460="DWF",A460="DNF"),Données_Planning!J458,MOD(Données_Planning!J458,60)))</f>
        <v>0</v>
      </c>
      <c r="P460" s="28" t="str">
        <f t="shared" si="67"/>
        <v>s</v>
      </c>
      <c r="Q460" s="37">
        <f>(IF(OR(A460="DWF",A460="DNF"),0,QUOTIENT(Données_Planning!I458,60)))</f>
        <v>0</v>
      </c>
      <c r="R460" s="7" t="str">
        <f t="shared" si="68"/>
        <v>min</v>
      </c>
      <c r="S460" s="36">
        <f>(IF(OR(A460="DWF",A460="DNF"),Données_Planning!I458,MOD(Données_Planning!I458,60)))</f>
        <v>0</v>
      </c>
      <c r="T460" s="28" t="str">
        <f t="shared" si="69"/>
        <v>s</v>
      </c>
      <c r="U460" s="37">
        <f>(IF(OR(A460="DWF",A460="DNF"),0,QUOTIENT(Données_Planning!K458,60)))</f>
        <v>0</v>
      </c>
      <c r="V460" s="7" t="str">
        <f t="shared" si="70"/>
        <v>min</v>
      </c>
      <c r="W460" s="36">
        <f>(IF(OR(A460="DWF",A460="DNF"),Données_Planning!K458,MOD(Données_Planning!K458,60)))</f>
        <v>0</v>
      </c>
      <c r="X460" s="38" t="str">
        <f t="shared" si="71"/>
        <v>s</v>
      </c>
      <c r="Y460" s="42"/>
    </row>
    <row r="461" spans="1:25" ht="15.75" x14ac:dyDescent="0.25">
      <c r="A461" s="4">
        <f>Données_Planning!A459</f>
        <v>0</v>
      </c>
      <c r="B461" s="6">
        <f>Données_Planning!B459</f>
        <v>0</v>
      </c>
      <c r="C461" s="28">
        <f>Données_Planning!C459</f>
        <v>0</v>
      </c>
      <c r="D461" s="50">
        <f t="shared" si="63"/>
        <v>0</v>
      </c>
      <c r="E461" s="51">
        <f t="shared" si="64"/>
        <v>0</v>
      </c>
      <c r="F461" s="52">
        <f t="shared" si="65"/>
        <v>0</v>
      </c>
      <c r="G461" s="47">
        <f>Données_Planning!L459</f>
        <v>0</v>
      </c>
      <c r="H461" s="18">
        <f>Données_Planning!H459</f>
        <v>0</v>
      </c>
      <c r="I461" s="5">
        <f>Données_Planning!D459</f>
        <v>0</v>
      </c>
      <c r="J461" s="22">
        <f>Données_Planning!F459</f>
        <v>0</v>
      </c>
      <c r="K461" s="22">
        <f>Données_Planning!E459</f>
        <v>0</v>
      </c>
      <c r="L461" s="35">
        <f>Données_Planning!G459</f>
        <v>0</v>
      </c>
      <c r="M461" s="37">
        <f>(IF(OR(A461="DWF",A461="DNF"),0,QUOTIENT(Données_Planning!J459,60)))</f>
        <v>0</v>
      </c>
      <c r="N461" s="7" t="str">
        <f t="shared" si="66"/>
        <v>min</v>
      </c>
      <c r="O461" s="36">
        <f>(IF(OR(A461="DWF",A461="DNF"),Données_Planning!J459,MOD(Données_Planning!J459,60)))</f>
        <v>0</v>
      </c>
      <c r="P461" s="28" t="str">
        <f t="shared" si="67"/>
        <v>s</v>
      </c>
      <c r="Q461" s="37">
        <f>(IF(OR(A461="DWF",A461="DNF"),0,QUOTIENT(Données_Planning!I459,60)))</f>
        <v>0</v>
      </c>
      <c r="R461" s="7" t="str">
        <f t="shared" si="68"/>
        <v>min</v>
      </c>
      <c r="S461" s="36">
        <f>(IF(OR(A461="DWF",A461="DNF"),Données_Planning!I459,MOD(Données_Planning!I459,60)))</f>
        <v>0</v>
      </c>
      <c r="T461" s="28" t="str">
        <f t="shared" si="69"/>
        <v>s</v>
      </c>
      <c r="U461" s="37">
        <f>(IF(OR(A461="DWF",A461="DNF"),0,QUOTIENT(Données_Planning!K459,60)))</f>
        <v>0</v>
      </c>
      <c r="V461" s="7" t="str">
        <f t="shared" si="70"/>
        <v>min</v>
      </c>
      <c r="W461" s="36">
        <f>(IF(OR(A461="DWF",A461="DNF"),Données_Planning!K459,MOD(Données_Planning!K459,60)))</f>
        <v>0</v>
      </c>
      <c r="X461" s="38" t="str">
        <f t="shared" si="71"/>
        <v>s</v>
      </c>
      <c r="Y461" s="42"/>
    </row>
    <row r="462" spans="1:25" ht="15.75" x14ac:dyDescent="0.25">
      <c r="A462" s="4">
        <f>Données_Planning!A460</f>
        <v>0</v>
      </c>
      <c r="B462" s="6">
        <f>Données_Planning!B460</f>
        <v>0</v>
      </c>
      <c r="C462" s="28">
        <f>Données_Planning!C460</f>
        <v>0</v>
      </c>
      <c r="D462" s="50">
        <f t="shared" si="63"/>
        <v>0</v>
      </c>
      <c r="E462" s="51">
        <f t="shared" si="64"/>
        <v>0</v>
      </c>
      <c r="F462" s="52">
        <f t="shared" si="65"/>
        <v>0</v>
      </c>
      <c r="G462" s="47">
        <f>Données_Planning!L460</f>
        <v>0</v>
      </c>
      <c r="H462" s="18">
        <f>Données_Planning!H460</f>
        <v>0</v>
      </c>
      <c r="I462" s="5">
        <f>Données_Planning!D460</f>
        <v>0</v>
      </c>
      <c r="J462" s="22">
        <f>Données_Planning!F460</f>
        <v>0</v>
      </c>
      <c r="K462" s="22">
        <f>Données_Planning!E460</f>
        <v>0</v>
      </c>
      <c r="L462" s="35">
        <f>Données_Planning!G460</f>
        <v>0</v>
      </c>
      <c r="M462" s="37">
        <f>(IF(OR(A462="DWF",A462="DNF"),0,QUOTIENT(Données_Planning!J460,60)))</f>
        <v>0</v>
      </c>
      <c r="N462" s="7" t="str">
        <f t="shared" si="66"/>
        <v>min</v>
      </c>
      <c r="O462" s="36">
        <f>(IF(OR(A462="DWF",A462="DNF"),Données_Planning!J460,MOD(Données_Planning!J460,60)))</f>
        <v>0</v>
      </c>
      <c r="P462" s="28" t="str">
        <f t="shared" si="67"/>
        <v>s</v>
      </c>
      <c r="Q462" s="37">
        <f>(IF(OR(A462="DWF",A462="DNF"),0,QUOTIENT(Données_Planning!I460,60)))</f>
        <v>0</v>
      </c>
      <c r="R462" s="7" t="str">
        <f t="shared" si="68"/>
        <v>min</v>
      </c>
      <c r="S462" s="36">
        <f>(IF(OR(A462="DWF",A462="DNF"),Données_Planning!I460,MOD(Données_Planning!I460,60)))</f>
        <v>0</v>
      </c>
      <c r="T462" s="28" t="str">
        <f t="shared" si="69"/>
        <v>s</v>
      </c>
      <c r="U462" s="37">
        <f>(IF(OR(A462="DWF",A462="DNF"),0,QUOTIENT(Données_Planning!K460,60)))</f>
        <v>0</v>
      </c>
      <c r="V462" s="7" t="str">
        <f t="shared" si="70"/>
        <v>min</v>
      </c>
      <c r="W462" s="36">
        <f>(IF(OR(A462="DWF",A462="DNF"),Données_Planning!K460,MOD(Données_Planning!K460,60)))</f>
        <v>0</v>
      </c>
      <c r="X462" s="38" t="str">
        <f t="shared" si="71"/>
        <v>s</v>
      </c>
      <c r="Y462" s="42"/>
    </row>
    <row r="463" spans="1:25" ht="15.75" x14ac:dyDescent="0.25">
      <c r="A463" s="4">
        <f>Données_Planning!A461</f>
        <v>0</v>
      </c>
      <c r="B463" s="6">
        <f>Données_Planning!B461</f>
        <v>0</v>
      </c>
      <c r="C463" s="28">
        <f>Données_Planning!C461</f>
        <v>0</v>
      </c>
      <c r="D463" s="50">
        <f t="shared" si="63"/>
        <v>0</v>
      </c>
      <c r="E463" s="51">
        <f t="shared" si="64"/>
        <v>0</v>
      </c>
      <c r="F463" s="52">
        <f t="shared" si="65"/>
        <v>0</v>
      </c>
      <c r="G463" s="47">
        <f>Données_Planning!L461</f>
        <v>0</v>
      </c>
      <c r="H463" s="18">
        <f>Données_Planning!H461</f>
        <v>0</v>
      </c>
      <c r="I463" s="5">
        <f>Données_Planning!D461</f>
        <v>0</v>
      </c>
      <c r="J463" s="22">
        <f>Données_Planning!F461</f>
        <v>0</v>
      </c>
      <c r="K463" s="22">
        <f>Données_Planning!E461</f>
        <v>0</v>
      </c>
      <c r="L463" s="35">
        <f>Données_Planning!G461</f>
        <v>0</v>
      </c>
      <c r="M463" s="37">
        <f>(IF(OR(A463="DWF",A463="DNF"),0,QUOTIENT(Données_Planning!J461,60)))</f>
        <v>0</v>
      </c>
      <c r="N463" s="7" t="str">
        <f t="shared" si="66"/>
        <v>min</v>
      </c>
      <c r="O463" s="36">
        <f>(IF(OR(A463="DWF",A463="DNF"),Données_Planning!J461,MOD(Données_Planning!J461,60)))</f>
        <v>0</v>
      </c>
      <c r="P463" s="28" t="str">
        <f t="shared" si="67"/>
        <v>s</v>
      </c>
      <c r="Q463" s="37">
        <f>(IF(OR(A463="DWF",A463="DNF"),0,QUOTIENT(Données_Planning!I461,60)))</f>
        <v>0</v>
      </c>
      <c r="R463" s="7" t="str">
        <f t="shared" si="68"/>
        <v>min</v>
      </c>
      <c r="S463" s="36">
        <f>(IF(OR(A463="DWF",A463="DNF"),Données_Planning!I461,MOD(Données_Planning!I461,60)))</f>
        <v>0</v>
      </c>
      <c r="T463" s="28" t="str">
        <f t="shared" si="69"/>
        <v>s</v>
      </c>
      <c r="U463" s="37">
        <f>(IF(OR(A463="DWF",A463="DNF"),0,QUOTIENT(Données_Planning!K461,60)))</f>
        <v>0</v>
      </c>
      <c r="V463" s="7" t="str">
        <f t="shared" si="70"/>
        <v>min</v>
      </c>
      <c r="W463" s="36">
        <f>(IF(OR(A463="DWF",A463="DNF"),Données_Planning!K461,MOD(Données_Planning!K461,60)))</f>
        <v>0</v>
      </c>
      <c r="X463" s="38" t="str">
        <f t="shared" si="71"/>
        <v>s</v>
      </c>
      <c r="Y463" s="42"/>
    </row>
    <row r="464" spans="1:25" ht="15.75" x14ac:dyDescent="0.25">
      <c r="A464" s="4">
        <f>Données_Planning!A462</f>
        <v>0</v>
      </c>
      <c r="B464" s="6">
        <f>Données_Planning!B462</f>
        <v>0</v>
      </c>
      <c r="C464" s="28">
        <f>Données_Planning!C462</f>
        <v>0</v>
      </c>
      <c r="D464" s="50">
        <f t="shared" si="63"/>
        <v>0</v>
      </c>
      <c r="E464" s="51">
        <f t="shared" si="64"/>
        <v>0</v>
      </c>
      <c r="F464" s="52">
        <f t="shared" si="65"/>
        <v>0</v>
      </c>
      <c r="G464" s="47">
        <f>Données_Planning!L462</f>
        <v>0</v>
      </c>
      <c r="H464" s="18">
        <f>Données_Planning!H462</f>
        <v>0</v>
      </c>
      <c r="I464" s="5">
        <f>Données_Planning!D462</f>
        <v>0</v>
      </c>
      <c r="J464" s="22">
        <f>Données_Planning!F462</f>
        <v>0</v>
      </c>
      <c r="K464" s="22">
        <f>Données_Planning!E462</f>
        <v>0</v>
      </c>
      <c r="L464" s="35">
        <f>Données_Planning!G462</f>
        <v>0</v>
      </c>
      <c r="M464" s="37">
        <f>(IF(OR(A464="DWF",A464="DNF"),0,QUOTIENT(Données_Planning!J462,60)))</f>
        <v>0</v>
      </c>
      <c r="N464" s="7" t="str">
        <f t="shared" si="66"/>
        <v>min</v>
      </c>
      <c r="O464" s="36">
        <f>(IF(OR(A464="DWF",A464="DNF"),Données_Planning!J462,MOD(Données_Planning!J462,60)))</f>
        <v>0</v>
      </c>
      <c r="P464" s="28" t="str">
        <f t="shared" si="67"/>
        <v>s</v>
      </c>
      <c r="Q464" s="37">
        <f>(IF(OR(A464="DWF",A464="DNF"),0,QUOTIENT(Données_Planning!I462,60)))</f>
        <v>0</v>
      </c>
      <c r="R464" s="7" t="str">
        <f t="shared" si="68"/>
        <v>min</v>
      </c>
      <c r="S464" s="36">
        <f>(IF(OR(A464="DWF",A464="DNF"),Données_Planning!I462,MOD(Données_Planning!I462,60)))</f>
        <v>0</v>
      </c>
      <c r="T464" s="28" t="str">
        <f t="shared" si="69"/>
        <v>s</v>
      </c>
      <c r="U464" s="37">
        <f>(IF(OR(A464="DWF",A464="DNF"),0,QUOTIENT(Données_Planning!K462,60)))</f>
        <v>0</v>
      </c>
      <c r="V464" s="7" t="str">
        <f t="shared" si="70"/>
        <v>min</v>
      </c>
      <c r="W464" s="36">
        <f>(IF(OR(A464="DWF",A464="DNF"),Données_Planning!K462,MOD(Données_Planning!K462,60)))</f>
        <v>0</v>
      </c>
      <c r="X464" s="38" t="str">
        <f t="shared" si="71"/>
        <v>s</v>
      </c>
      <c r="Y464" s="42"/>
    </row>
    <row r="465" spans="1:25" ht="15.75" x14ac:dyDescent="0.25">
      <c r="A465" s="4">
        <f>Données_Planning!A463</f>
        <v>0</v>
      </c>
      <c r="B465" s="6">
        <f>Données_Planning!B463</f>
        <v>0</v>
      </c>
      <c r="C465" s="28">
        <f>Données_Planning!C463</f>
        <v>0</v>
      </c>
      <c r="D465" s="50">
        <f t="shared" si="63"/>
        <v>0</v>
      </c>
      <c r="E465" s="51">
        <f t="shared" si="64"/>
        <v>0</v>
      </c>
      <c r="F465" s="52">
        <f t="shared" si="65"/>
        <v>0</v>
      </c>
      <c r="G465" s="47">
        <f>Données_Planning!L463</f>
        <v>0</v>
      </c>
      <c r="H465" s="18">
        <f>Données_Planning!H463</f>
        <v>0</v>
      </c>
      <c r="I465" s="5">
        <f>Données_Planning!D463</f>
        <v>0</v>
      </c>
      <c r="J465" s="22">
        <f>Données_Planning!F463</f>
        <v>0</v>
      </c>
      <c r="K465" s="22">
        <f>Données_Planning!E463</f>
        <v>0</v>
      </c>
      <c r="L465" s="35">
        <f>Données_Planning!G463</f>
        <v>0</v>
      </c>
      <c r="M465" s="37">
        <f>(IF(OR(A465="DWF",A465="DNF"),0,QUOTIENT(Données_Planning!J463,60)))</f>
        <v>0</v>
      </c>
      <c r="N465" s="7" t="str">
        <f t="shared" si="66"/>
        <v>min</v>
      </c>
      <c r="O465" s="36">
        <f>(IF(OR(A465="DWF",A465="DNF"),Données_Planning!J463,MOD(Données_Planning!J463,60)))</f>
        <v>0</v>
      </c>
      <c r="P465" s="28" t="str">
        <f t="shared" si="67"/>
        <v>s</v>
      </c>
      <c r="Q465" s="37">
        <f>(IF(OR(A465="DWF",A465="DNF"),0,QUOTIENT(Données_Planning!I463,60)))</f>
        <v>0</v>
      </c>
      <c r="R465" s="7" t="str">
        <f t="shared" si="68"/>
        <v>min</v>
      </c>
      <c r="S465" s="36">
        <f>(IF(OR(A465="DWF",A465="DNF"),Données_Planning!I463,MOD(Données_Planning!I463,60)))</f>
        <v>0</v>
      </c>
      <c r="T465" s="28" t="str">
        <f t="shared" si="69"/>
        <v>s</v>
      </c>
      <c r="U465" s="37">
        <f>(IF(OR(A465="DWF",A465="DNF"),0,QUOTIENT(Données_Planning!K463,60)))</f>
        <v>0</v>
      </c>
      <c r="V465" s="7" t="str">
        <f t="shared" si="70"/>
        <v>min</v>
      </c>
      <c r="W465" s="36">
        <f>(IF(OR(A465="DWF",A465="DNF"),Données_Planning!K463,MOD(Données_Planning!K463,60)))</f>
        <v>0</v>
      </c>
      <c r="X465" s="38" t="str">
        <f t="shared" si="71"/>
        <v>s</v>
      </c>
      <c r="Y465" s="42"/>
    </row>
    <row r="466" spans="1:25" ht="15.75" x14ac:dyDescent="0.25">
      <c r="A466" s="4">
        <f>Données_Planning!A464</f>
        <v>0</v>
      </c>
      <c r="B466" s="6">
        <f>Données_Planning!B464</f>
        <v>0</v>
      </c>
      <c r="C466" s="28">
        <f>Données_Planning!C464</f>
        <v>0</v>
      </c>
      <c r="D466" s="50">
        <f t="shared" si="63"/>
        <v>0</v>
      </c>
      <c r="E466" s="51">
        <f t="shared" si="64"/>
        <v>0</v>
      </c>
      <c r="F466" s="52">
        <f t="shared" si="65"/>
        <v>0</v>
      </c>
      <c r="G466" s="47">
        <f>Données_Planning!L464</f>
        <v>0</v>
      </c>
      <c r="H466" s="18">
        <f>Données_Planning!H464</f>
        <v>0</v>
      </c>
      <c r="I466" s="5">
        <f>Données_Planning!D464</f>
        <v>0</v>
      </c>
      <c r="J466" s="22">
        <f>Données_Planning!F464</f>
        <v>0</v>
      </c>
      <c r="K466" s="22">
        <f>Données_Planning!E464</f>
        <v>0</v>
      </c>
      <c r="L466" s="35">
        <f>Données_Planning!G464</f>
        <v>0</v>
      </c>
      <c r="M466" s="37">
        <f>(IF(OR(A466="DWF",A466="DNF"),0,QUOTIENT(Données_Planning!J464,60)))</f>
        <v>0</v>
      </c>
      <c r="N466" s="7" t="str">
        <f t="shared" si="66"/>
        <v>min</v>
      </c>
      <c r="O466" s="36">
        <f>(IF(OR(A466="DWF",A466="DNF"),Données_Planning!J464,MOD(Données_Planning!J464,60)))</f>
        <v>0</v>
      </c>
      <c r="P466" s="28" t="str">
        <f t="shared" si="67"/>
        <v>s</v>
      </c>
      <c r="Q466" s="37">
        <f>(IF(OR(A466="DWF",A466="DNF"),0,QUOTIENT(Données_Planning!I464,60)))</f>
        <v>0</v>
      </c>
      <c r="R466" s="7" t="str">
        <f t="shared" si="68"/>
        <v>min</v>
      </c>
      <c r="S466" s="36">
        <f>(IF(OR(A466="DWF",A466="DNF"),Données_Planning!I464,MOD(Données_Planning!I464,60)))</f>
        <v>0</v>
      </c>
      <c r="T466" s="28" t="str">
        <f t="shared" si="69"/>
        <v>s</v>
      </c>
      <c r="U466" s="37">
        <f>(IF(OR(A466="DWF",A466="DNF"),0,QUOTIENT(Données_Planning!K464,60)))</f>
        <v>0</v>
      </c>
      <c r="V466" s="7" t="str">
        <f t="shared" si="70"/>
        <v>min</v>
      </c>
      <c r="W466" s="36">
        <f>(IF(OR(A466="DWF",A466="DNF"),Données_Planning!K464,MOD(Données_Planning!K464,60)))</f>
        <v>0</v>
      </c>
      <c r="X466" s="38" t="str">
        <f t="shared" si="71"/>
        <v>s</v>
      </c>
      <c r="Y466" s="42"/>
    </row>
    <row r="467" spans="1:25" ht="15.75" x14ac:dyDescent="0.25">
      <c r="A467" s="4">
        <f>Données_Planning!A465</f>
        <v>0</v>
      </c>
      <c r="B467" s="6">
        <f>Données_Planning!B465</f>
        <v>0</v>
      </c>
      <c r="C467" s="28">
        <f>Données_Planning!C465</f>
        <v>0</v>
      </c>
      <c r="D467" s="50">
        <f t="shared" si="63"/>
        <v>0</v>
      </c>
      <c r="E467" s="51">
        <f t="shared" si="64"/>
        <v>0</v>
      </c>
      <c r="F467" s="52">
        <f t="shared" si="65"/>
        <v>0</v>
      </c>
      <c r="G467" s="47">
        <f>Données_Planning!L465</f>
        <v>0</v>
      </c>
      <c r="H467" s="18">
        <f>Données_Planning!H465</f>
        <v>0</v>
      </c>
      <c r="I467" s="5">
        <f>Données_Planning!D465</f>
        <v>0</v>
      </c>
      <c r="J467" s="22">
        <f>Données_Planning!F465</f>
        <v>0</v>
      </c>
      <c r="K467" s="22">
        <f>Données_Planning!E465</f>
        <v>0</v>
      </c>
      <c r="L467" s="35">
        <f>Données_Planning!G465</f>
        <v>0</v>
      </c>
      <c r="M467" s="37">
        <f>(IF(OR(A467="DWF",A467="DNF"),0,QUOTIENT(Données_Planning!J465,60)))</f>
        <v>0</v>
      </c>
      <c r="N467" s="7" t="str">
        <f t="shared" si="66"/>
        <v>min</v>
      </c>
      <c r="O467" s="36">
        <f>(IF(OR(A467="DWF",A467="DNF"),Données_Planning!J465,MOD(Données_Planning!J465,60)))</f>
        <v>0</v>
      </c>
      <c r="P467" s="28" t="str">
        <f t="shared" si="67"/>
        <v>s</v>
      </c>
      <c r="Q467" s="37">
        <f>(IF(OR(A467="DWF",A467="DNF"),0,QUOTIENT(Données_Planning!I465,60)))</f>
        <v>0</v>
      </c>
      <c r="R467" s="7" t="str">
        <f t="shared" si="68"/>
        <v>min</v>
      </c>
      <c r="S467" s="36">
        <f>(IF(OR(A467="DWF",A467="DNF"),Données_Planning!I465,MOD(Données_Planning!I465,60)))</f>
        <v>0</v>
      </c>
      <c r="T467" s="28" t="str">
        <f t="shared" si="69"/>
        <v>s</v>
      </c>
      <c r="U467" s="37">
        <f>(IF(OR(A467="DWF",A467="DNF"),0,QUOTIENT(Données_Planning!K465,60)))</f>
        <v>0</v>
      </c>
      <c r="V467" s="7" t="str">
        <f t="shared" si="70"/>
        <v>min</v>
      </c>
      <c r="W467" s="36">
        <f>(IF(OR(A467="DWF",A467="DNF"),Données_Planning!K465,MOD(Données_Planning!K465,60)))</f>
        <v>0</v>
      </c>
      <c r="X467" s="38" t="str">
        <f t="shared" si="71"/>
        <v>s</v>
      </c>
      <c r="Y467" s="42"/>
    </row>
    <row r="468" spans="1:25" ht="15.75" x14ac:dyDescent="0.25">
      <c r="A468" s="4">
        <f>Données_Planning!A466</f>
        <v>0</v>
      </c>
      <c r="B468" s="6">
        <f>Données_Planning!B466</f>
        <v>0</v>
      </c>
      <c r="C468" s="28">
        <f>Données_Planning!C466</f>
        <v>0</v>
      </c>
      <c r="D468" s="50">
        <f t="shared" si="63"/>
        <v>0</v>
      </c>
      <c r="E468" s="51">
        <f t="shared" si="64"/>
        <v>0</v>
      </c>
      <c r="F468" s="52">
        <f t="shared" si="65"/>
        <v>0</v>
      </c>
      <c r="G468" s="47">
        <f>Données_Planning!L466</f>
        <v>0</v>
      </c>
      <c r="H468" s="18">
        <f>Données_Planning!H466</f>
        <v>0</v>
      </c>
      <c r="I468" s="5">
        <f>Données_Planning!D466</f>
        <v>0</v>
      </c>
      <c r="J468" s="22">
        <f>Données_Planning!F466</f>
        <v>0</v>
      </c>
      <c r="K468" s="22">
        <f>Données_Planning!E466</f>
        <v>0</v>
      </c>
      <c r="L468" s="35">
        <f>Données_Planning!G466</f>
        <v>0</v>
      </c>
      <c r="M468" s="37">
        <f>(IF(OR(A468="DWF",A468="DNF"),0,QUOTIENT(Données_Planning!J466,60)))</f>
        <v>0</v>
      </c>
      <c r="N468" s="7" t="str">
        <f t="shared" si="66"/>
        <v>min</v>
      </c>
      <c r="O468" s="36">
        <f>(IF(OR(A468="DWF",A468="DNF"),Données_Planning!J466,MOD(Données_Planning!J466,60)))</f>
        <v>0</v>
      </c>
      <c r="P468" s="28" t="str">
        <f t="shared" si="67"/>
        <v>s</v>
      </c>
      <c r="Q468" s="37">
        <f>(IF(OR(A468="DWF",A468="DNF"),0,QUOTIENT(Données_Planning!I466,60)))</f>
        <v>0</v>
      </c>
      <c r="R468" s="7" t="str">
        <f t="shared" si="68"/>
        <v>min</v>
      </c>
      <c r="S468" s="36">
        <f>(IF(OR(A468="DWF",A468="DNF"),Données_Planning!I466,MOD(Données_Planning!I466,60)))</f>
        <v>0</v>
      </c>
      <c r="T468" s="28" t="str">
        <f t="shared" si="69"/>
        <v>s</v>
      </c>
      <c r="U468" s="37">
        <f>(IF(OR(A468="DWF",A468="DNF"),0,QUOTIENT(Données_Planning!K466,60)))</f>
        <v>0</v>
      </c>
      <c r="V468" s="7" t="str">
        <f t="shared" si="70"/>
        <v>min</v>
      </c>
      <c r="W468" s="36">
        <f>(IF(OR(A468="DWF",A468="DNF"),Données_Planning!K466,MOD(Données_Planning!K466,60)))</f>
        <v>0</v>
      </c>
      <c r="X468" s="38" t="str">
        <f t="shared" si="71"/>
        <v>s</v>
      </c>
      <c r="Y468" s="42"/>
    </row>
    <row r="469" spans="1:25" ht="15.75" x14ac:dyDescent="0.25">
      <c r="A469" s="4">
        <f>Données_Planning!A467</f>
        <v>0</v>
      </c>
      <c r="B469" s="6">
        <f>Données_Planning!B467</f>
        <v>0</v>
      </c>
      <c r="C469" s="28">
        <f>Données_Planning!C467</f>
        <v>0</v>
      </c>
      <c r="D469" s="50">
        <f t="shared" si="63"/>
        <v>0</v>
      </c>
      <c r="E469" s="51">
        <f t="shared" si="64"/>
        <v>0</v>
      </c>
      <c r="F469" s="52">
        <f t="shared" si="65"/>
        <v>0</v>
      </c>
      <c r="G469" s="47">
        <f>Données_Planning!L467</f>
        <v>0</v>
      </c>
      <c r="H469" s="18">
        <f>Données_Planning!H467</f>
        <v>0</v>
      </c>
      <c r="I469" s="5">
        <f>Données_Planning!D467</f>
        <v>0</v>
      </c>
      <c r="J469" s="22">
        <f>Données_Planning!F467</f>
        <v>0</v>
      </c>
      <c r="K469" s="22">
        <f>Données_Planning!E467</f>
        <v>0</v>
      </c>
      <c r="L469" s="35">
        <f>Données_Planning!G467</f>
        <v>0</v>
      </c>
      <c r="M469" s="37">
        <f>(IF(OR(A469="DWF",A469="DNF"),0,QUOTIENT(Données_Planning!J467,60)))</f>
        <v>0</v>
      </c>
      <c r="N469" s="7" t="str">
        <f t="shared" si="66"/>
        <v>min</v>
      </c>
      <c r="O469" s="36">
        <f>(IF(OR(A469="DWF",A469="DNF"),Données_Planning!J467,MOD(Données_Planning!J467,60)))</f>
        <v>0</v>
      </c>
      <c r="P469" s="28" t="str">
        <f t="shared" si="67"/>
        <v>s</v>
      </c>
      <c r="Q469" s="37">
        <f>(IF(OR(A469="DWF",A469="DNF"),0,QUOTIENT(Données_Planning!I467,60)))</f>
        <v>0</v>
      </c>
      <c r="R469" s="7" t="str">
        <f t="shared" si="68"/>
        <v>min</v>
      </c>
      <c r="S469" s="36">
        <f>(IF(OR(A469="DWF",A469="DNF"),Données_Planning!I467,MOD(Données_Planning!I467,60)))</f>
        <v>0</v>
      </c>
      <c r="T469" s="28" t="str">
        <f t="shared" si="69"/>
        <v>s</v>
      </c>
      <c r="U469" s="37">
        <f>(IF(OR(A469="DWF",A469="DNF"),0,QUOTIENT(Données_Planning!K467,60)))</f>
        <v>0</v>
      </c>
      <c r="V469" s="7" t="str">
        <f t="shared" si="70"/>
        <v>min</v>
      </c>
      <c r="W469" s="36">
        <f>(IF(OR(A469="DWF",A469="DNF"),Données_Planning!K467,MOD(Données_Planning!K467,60)))</f>
        <v>0</v>
      </c>
      <c r="X469" s="38" t="str">
        <f t="shared" si="71"/>
        <v>s</v>
      </c>
      <c r="Y469" s="42"/>
    </row>
    <row r="470" spans="1:25" ht="15.75" x14ac:dyDescent="0.25">
      <c r="A470" s="4">
        <f>Données_Planning!A468</f>
        <v>0</v>
      </c>
      <c r="B470" s="6">
        <f>Données_Planning!B468</f>
        <v>0</v>
      </c>
      <c r="C470" s="28">
        <f>Données_Planning!C468</f>
        <v>0</v>
      </c>
      <c r="D470" s="50">
        <f t="shared" si="63"/>
        <v>0</v>
      </c>
      <c r="E470" s="51">
        <f t="shared" si="64"/>
        <v>0</v>
      </c>
      <c r="F470" s="52">
        <f t="shared" si="65"/>
        <v>0</v>
      </c>
      <c r="G470" s="47">
        <f>Données_Planning!L468</f>
        <v>0</v>
      </c>
      <c r="H470" s="18">
        <f>Données_Planning!H468</f>
        <v>0</v>
      </c>
      <c r="I470" s="5">
        <f>Données_Planning!D468</f>
        <v>0</v>
      </c>
      <c r="J470" s="22">
        <f>Données_Planning!F468</f>
        <v>0</v>
      </c>
      <c r="K470" s="22">
        <f>Données_Planning!E468</f>
        <v>0</v>
      </c>
      <c r="L470" s="35">
        <f>Données_Planning!G468</f>
        <v>0</v>
      </c>
      <c r="M470" s="37">
        <f>(IF(OR(A470="DWF",A470="DNF"),0,QUOTIENT(Données_Planning!J468,60)))</f>
        <v>0</v>
      </c>
      <c r="N470" s="7" t="str">
        <f t="shared" si="66"/>
        <v>min</v>
      </c>
      <c r="O470" s="36">
        <f>(IF(OR(A470="DWF",A470="DNF"),Données_Planning!J468,MOD(Données_Planning!J468,60)))</f>
        <v>0</v>
      </c>
      <c r="P470" s="28" t="str">
        <f t="shared" si="67"/>
        <v>s</v>
      </c>
      <c r="Q470" s="37">
        <f>(IF(OR(A470="DWF",A470="DNF"),0,QUOTIENT(Données_Planning!I468,60)))</f>
        <v>0</v>
      </c>
      <c r="R470" s="7" t="str">
        <f t="shared" si="68"/>
        <v>min</v>
      </c>
      <c r="S470" s="36">
        <f>(IF(OR(A470="DWF",A470="DNF"),Données_Planning!I468,MOD(Données_Planning!I468,60)))</f>
        <v>0</v>
      </c>
      <c r="T470" s="28" t="str">
        <f t="shared" si="69"/>
        <v>s</v>
      </c>
      <c r="U470" s="37">
        <f>(IF(OR(A470="DWF",A470="DNF"),0,QUOTIENT(Données_Planning!K468,60)))</f>
        <v>0</v>
      </c>
      <c r="V470" s="7" t="str">
        <f t="shared" si="70"/>
        <v>min</v>
      </c>
      <c r="W470" s="36">
        <f>(IF(OR(A470="DWF",A470="DNF"),Données_Planning!K468,MOD(Données_Planning!K468,60)))</f>
        <v>0</v>
      </c>
      <c r="X470" s="38" t="str">
        <f t="shared" si="71"/>
        <v>s</v>
      </c>
      <c r="Y470" s="42"/>
    </row>
    <row r="471" spans="1:25" ht="15.75" x14ac:dyDescent="0.25">
      <c r="A471" s="4">
        <f>Données_Planning!A469</f>
        <v>0</v>
      </c>
      <c r="B471" s="6">
        <f>Données_Planning!B469</f>
        <v>0</v>
      </c>
      <c r="C471" s="28">
        <f>Données_Planning!C469</f>
        <v>0</v>
      </c>
      <c r="D471" s="50">
        <f t="shared" si="63"/>
        <v>0</v>
      </c>
      <c r="E471" s="51">
        <f t="shared" si="64"/>
        <v>0</v>
      </c>
      <c r="F471" s="52">
        <f t="shared" si="65"/>
        <v>0</v>
      </c>
      <c r="G471" s="47">
        <f>Données_Planning!L469</f>
        <v>0</v>
      </c>
      <c r="H471" s="18">
        <f>Données_Planning!H469</f>
        <v>0</v>
      </c>
      <c r="I471" s="5">
        <f>Données_Planning!D469</f>
        <v>0</v>
      </c>
      <c r="J471" s="22">
        <f>Données_Planning!F469</f>
        <v>0</v>
      </c>
      <c r="K471" s="22">
        <f>Données_Planning!E469</f>
        <v>0</v>
      </c>
      <c r="L471" s="35">
        <f>Données_Planning!G469</f>
        <v>0</v>
      </c>
      <c r="M471" s="37">
        <f>(IF(OR(A471="DWF",A471="DNF"),0,QUOTIENT(Données_Planning!J469,60)))</f>
        <v>0</v>
      </c>
      <c r="N471" s="7" t="str">
        <f t="shared" si="66"/>
        <v>min</v>
      </c>
      <c r="O471" s="36">
        <f>(IF(OR(A471="DWF",A471="DNF"),Données_Planning!J469,MOD(Données_Planning!J469,60)))</f>
        <v>0</v>
      </c>
      <c r="P471" s="28" t="str">
        <f t="shared" si="67"/>
        <v>s</v>
      </c>
      <c r="Q471" s="37">
        <f>(IF(OR(A471="DWF",A471="DNF"),0,QUOTIENT(Données_Planning!I469,60)))</f>
        <v>0</v>
      </c>
      <c r="R471" s="7" t="str">
        <f t="shared" si="68"/>
        <v>min</v>
      </c>
      <c r="S471" s="36">
        <f>(IF(OR(A471="DWF",A471="DNF"),Données_Planning!I469,MOD(Données_Planning!I469,60)))</f>
        <v>0</v>
      </c>
      <c r="T471" s="28" t="str">
        <f t="shared" si="69"/>
        <v>s</v>
      </c>
      <c r="U471" s="37">
        <f>(IF(OR(A471="DWF",A471="DNF"),0,QUOTIENT(Données_Planning!K469,60)))</f>
        <v>0</v>
      </c>
      <c r="V471" s="7" t="str">
        <f t="shared" si="70"/>
        <v>min</v>
      </c>
      <c r="W471" s="36">
        <f>(IF(OR(A471="DWF",A471="DNF"),Données_Planning!K469,MOD(Données_Planning!K469,60)))</f>
        <v>0</v>
      </c>
      <c r="X471" s="38" t="str">
        <f t="shared" si="71"/>
        <v>s</v>
      </c>
      <c r="Y471" s="42"/>
    </row>
    <row r="472" spans="1:25" ht="15.75" x14ac:dyDescent="0.25">
      <c r="A472" s="4">
        <f>Données_Planning!A470</f>
        <v>0</v>
      </c>
      <c r="B472" s="6">
        <f>Données_Planning!B470</f>
        <v>0</v>
      </c>
      <c r="C472" s="28">
        <f>Données_Planning!C470</f>
        <v>0</v>
      </c>
      <c r="D472" s="50">
        <f t="shared" si="63"/>
        <v>0</v>
      </c>
      <c r="E472" s="51">
        <f t="shared" si="64"/>
        <v>0</v>
      </c>
      <c r="F472" s="52">
        <f t="shared" si="65"/>
        <v>0</v>
      </c>
      <c r="G472" s="47">
        <f>Données_Planning!L470</f>
        <v>0</v>
      </c>
      <c r="H472" s="18">
        <f>Données_Planning!H470</f>
        <v>0</v>
      </c>
      <c r="I472" s="5">
        <f>Données_Planning!D470</f>
        <v>0</v>
      </c>
      <c r="J472" s="22">
        <f>Données_Planning!F470</f>
        <v>0</v>
      </c>
      <c r="K472" s="22">
        <f>Données_Planning!E470</f>
        <v>0</v>
      </c>
      <c r="L472" s="35">
        <f>Données_Planning!G470</f>
        <v>0</v>
      </c>
      <c r="M472" s="37">
        <f>(IF(OR(A472="DWF",A472="DNF"),0,QUOTIENT(Données_Planning!J470,60)))</f>
        <v>0</v>
      </c>
      <c r="N472" s="7" t="str">
        <f t="shared" si="66"/>
        <v>min</v>
      </c>
      <c r="O472" s="36">
        <f>(IF(OR(A472="DWF",A472="DNF"),Données_Planning!J470,MOD(Données_Planning!J470,60)))</f>
        <v>0</v>
      </c>
      <c r="P472" s="28" t="str">
        <f t="shared" si="67"/>
        <v>s</v>
      </c>
      <c r="Q472" s="37">
        <f>(IF(OR(A472="DWF",A472="DNF"),0,QUOTIENT(Données_Planning!I470,60)))</f>
        <v>0</v>
      </c>
      <c r="R472" s="7" t="str">
        <f t="shared" si="68"/>
        <v>min</v>
      </c>
      <c r="S472" s="36">
        <f>(IF(OR(A472="DWF",A472="DNF"),Données_Planning!I470,MOD(Données_Planning!I470,60)))</f>
        <v>0</v>
      </c>
      <c r="T472" s="28" t="str">
        <f t="shared" si="69"/>
        <v>s</v>
      </c>
      <c r="U472" s="37">
        <f>(IF(OR(A472="DWF",A472="DNF"),0,QUOTIENT(Données_Planning!K470,60)))</f>
        <v>0</v>
      </c>
      <c r="V472" s="7" t="str">
        <f t="shared" si="70"/>
        <v>min</v>
      </c>
      <c r="W472" s="36">
        <f>(IF(OR(A472="DWF",A472="DNF"),Données_Planning!K470,MOD(Données_Planning!K470,60)))</f>
        <v>0</v>
      </c>
      <c r="X472" s="38" t="str">
        <f t="shared" si="71"/>
        <v>s</v>
      </c>
      <c r="Y472" s="42"/>
    </row>
    <row r="473" spans="1:25" ht="15.75" x14ac:dyDescent="0.25">
      <c r="A473" s="4">
        <f>Données_Planning!A471</f>
        <v>0</v>
      </c>
      <c r="B473" s="6">
        <f>Données_Planning!B471</f>
        <v>0</v>
      </c>
      <c r="C473" s="28">
        <f>Données_Planning!C471</f>
        <v>0</v>
      </c>
      <c r="D473" s="50">
        <f t="shared" si="63"/>
        <v>0</v>
      </c>
      <c r="E473" s="51">
        <f t="shared" si="64"/>
        <v>0</v>
      </c>
      <c r="F473" s="52">
        <f t="shared" si="65"/>
        <v>0</v>
      </c>
      <c r="G473" s="47">
        <f>Données_Planning!L471</f>
        <v>0</v>
      </c>
      <c r="H473" s="18">
        <f>Données_Planning!H471</f>
        <v>0</v>
      </c>
      <c r="I473" s="5">
        <f>Données_Planning!D471</f>
        <v>0</v>
      </c>
      <c r="J473" s="22">
        <f>Données_Planning!F471</f>
        <v>0</v>
      </c>
      <c r="K473" s="22">
        <f>Données_Planning!E471</f>
        <v>0</v>
      </c>
      <c r="L473" s="35">
        <f>Données_Planning!G471</f>
        <v>0</v>
      </c>
      <c r="M473" s="37">
        <f>(IF(OR(A473="DWF",A473="DNF"),0,QUOTIENT(Données_Planning!J471,60)))</f>
        <v>0</v>
      </c>
      <c r="N473" s="7" t="str">
        <f t="shared" si="66"/>
        <v>min</v>
      </c>
      <c r="O473" s="36">
        <f>(IF(OR(A473="DWF",A473="DNF"),Données_Planning!J471,MOD(Données_Planning!J471,60)))</f>
        <v>0</v>
      </c>
      <c r="P473" s="28" t="str">
        <f t="shared" si="67"/>
        <v>s</v>
      </c>
      <c r="Q473" s="37">
        <f>(IF(OR(A473="DWF",A473="DNF"),0,QUOTIENT(Données_Planning!I471,60)))</f>
        <v>0</v>
      </c>
      <c r="R473" s="7" t="str">
        <f t="shared" si="68"/>
        <v>min</v>
      </c>
      <c r="S473" s="36">
        <f>(IF(OR(A473="DWF",A473="DNF"),Données_Planning!I471,MOD(Données_Planning!I471,60)))</f>
        <v>0</v>
      </c>
      <c r="T473" s="28" t="str">
        <f t="shared" si="69"/>
        <v>s</v>
      </c>
      <c r="U473" s="37">
        <f>(IF(OR(A473="DWF",A473="DNF"),0,QUOTIENT(Données_Planning!K471,60)))</f>
        <v>0</v>
      </c>
      <c r="V473" s="7" t="str">
        <f t="shared" si="70"/>
        <v>min</v>
      </c>
      <c r="W473" s="36">
        <f>(IF(OR(A473="DWF",A473="DNF"),Données_Planning!K471,MOD(Données_Planning!K471,60)))</f>
        <v>0</v>
      </c>
      <c r="X473" s="38" t="str">
        <f t="shared" si="71"/>
        <v>s</v>
      </c>
      <c r="Y473" s="42"/>
    </row>
    <row r="474" spans="1:25" ht="15.75" x14ac:dyDescent="0.25">
      <c r="A474" s="4">
        <f>Données_Planning!A472</f>
        <v>0</v>
      </c>
      <c r="B474" s="6">
        <f>Données_Planning!B472</f>
        <v>0</v>
      </c>
      <c r="C474" s="28">
        <f>Données_Planning!C472</f>
        <v>0</v>
      </c>
      <c r="D474" s="50">
        <f t="shared" si="63"/>
        <v>0</v>
      </c>
      <c r="E474" s="51">
        <f t="shared" si="64"/>
        <v>0</v>
      </c>
      <c r="F474" s="52">
        <f t="shared" si="65"/>
        <v>0</v>
      </c>
      <c r="G474" s="47">
        <f>Données_Planning!L472</f>
        <v>0</v>
      </c>
      <c r="H474" s="18">
        <f>Données_Planning!H472</f>
        <v>0</v>
      </c>
      <c r="I474" s="5">
        <f>Données_Planning!D472</f>
        <v>0</v>
      </c>
      <c r="J474" s="22">
        <f>Données_Planning!F472</f>
        <v>0</v>
      </c>
      <c r="K474" s="22">
        <f>Données_Planning!E472</f>
        <v>0</v>
      </c>
      <c r="L474" s="35">
        <f>Données_Planning!G472</f>
        <v>0</v>
      </c>
      <c r="M474" s="37">
        <f>(IF(OR(A474="DWF",A474="DNF"),0,QUOTIENT(Données_Planning!J472,60)))</f>
        <v>0</v>
      </c>
      <c r="N474" s="7" t="str">
        <f t="shared" si="66"/>
        <v>min</v>
      </c>
      <c r="O474" s="36">
        <f>(IF(OR(A474="DWF",A474="DNF"),Données_Planning!J472,MOD(Données_Planning!J472,60)))</f>
        <v>0</v>
      </c>
      <c r="P474" s="28" t="str">
        <f t="shared" si="67"/>
        <v>s</v>
      </c>
      <c r="Q474" s="37">
        <f>(IF(OR(A474="DWF",A474="DNF"),0,QUOTIENT(Données_Planning!I472,60)))</f>
        <v>0</v>
      </c>
      <c r="R474" s="7" t="str">
        <f t="shared" si="68"/>
        <v>min</v>
      </c>
      <c r="S474" s="36">
        <f>(IF(OR(A474="DWF",A474="DNF"),Données_Planning!I472,MOD(Données_Planning!I472,60)))</f>
        <v>0</v>
      </c>
      <c r="T474" s="28" t="str">
        <f t="shared" si="69"/>
        <v>s</v>
      </c>
      <c r="U474" s="37">
        <f>(IF(OR(A474="DWF",A474="DNF"),0,QUOTIENT(Données_Planning!K472,60)))</f>
        <v>0</v>
      </c>
      <c r="V474" s="7" t="str">
        <f t="shared" si="70"/>
        <v>min</v>
      </c>
      <c r="W474" s="36">
        <f>(IF(OR(A474="DWF",A474="DNF"),Données_Planning!K472,MOD(Données_Planning!K472,60)))</f>
        <v>0</v>
      </c>
      <c r="X474" s="38" t="str">
        <f t="shared" si="71"/>
        <v>s</v>
      </c>
      <c r="Y474" s="42"/>
    </row>
    <row r="475" spans="1:25" ht="15.75" x14ac:dyDescent="0.25">
      <c r="A475" s="4">
        <f>Données_Planning!A473</f>
        <v>0</v>
      </c>
      <c r="B475" s="6">
        <f>Données_Planning!B473</f>
        <v>0</v>
      </c>
      <c r="C475" s="28">
        <f>Données_Planning!C473</f>
        <v>0</v>
      </c>
      <c r="D475" s="50">
        <f t="shared" si="63"/>
        <v>0</v>
      </c>
      <c r="E475" s="51">
        <f t="shared" si="64"/>
        <v>0</v>
      </c>
      <c r="F475" s="52">
        <f t="shared" si="65"/>
        <v>0</v>
      </c>
      <c r="G475" s="47">
        <f>Données_Planning!L473</f>
        <v>0</v>
      </c>
      <c r="H475" s="18">
        <f>Données_Planning!H473</f>
        <v>0</v>
      </c>
      <c r="I475" s="5">
        <f>Données_Planning!D473</f>
        <v>0</v>
      </c>
      <c r="J475" s="22">
        <f>Données_Planning!F473</f>
        <v>0</v>
      </c>
      <c r="K475" s="22">
        <f>Données_Planning!E473</f>
        <v>0</v>
      </c>
      <c r="L475" s="35">
        <f>Données_Planning!G473</f>
        <v>0</v>
      </c>
      <c r="M475" s="37">
        <f>(IF(OR(A475="DWF",A475="DNF"),0,QUOTIENT(Données_Planning!J473,60)))</f>
        <v>0</v>
      </c>
      <c r="N475" s="7" t="str">
        <f t="shared" si="66"/>
        <v>min</v>
      </c>
      <c r="O475" s="36">
        <f>(IF(OR(A475="DWF",A475="DNF"),Données_Planning!J473,MOD(Données_Planning!J473,60)))</f>
        <v>0</v>
      </c>
      <c r="P475" s="28" t="str">
        <f t="shared" si="67"/>
        <v>s</v>
      </c>
      <c r="Q475" s="37">
        <f>(IF(OR(A475="DWF",A475="DNF"),0,QUOTIENT(Données_Planning!I473,60)))</f>
        <v>0</v>
      </c>
      <c r="R475" s="7" t="str">
        <f t="shared" si="68"/>
        <v>min</v>
      </c>
      <c r="S475" s="36">
        <f>(IF(OR(A475="DWF",A475="DNF"),Données_Planning!I473,MOD(Données_Planning!I473,60)))</f>
        <v>0</v>
      </c>
      <c r="T475" s="28" t="str">
        <f t="shared" si="69"/>
        <v>s</v>
      </c>
      <c r="U475" s="37">
        <f>(IF(OR(A475="DWF",A475="DNF"),0,QUOTIENT(Données_Planning!K473,60)))</f>
        <v>0</v>
      </c>
      <c r="V475" s="7" t="str">
        <f t="shared" si="70"/>
        <v>min</v>
      </c>
      <c r="W475" s="36">
        <f>(IF(OR(A475="DWF",A475="DNF"),Données_Planning!K473,MOD(Données_Planning!K473,60)))</f>
        <v>0</v>
      </c>
      <c r="X475" s="38" t="str">
        <f t="shared" si="71"/>
        <v>s</v>
      </c>
      <c r="Y475" s="42"/>
    </row>
    <row r="476" spans="1:25" ht="15.75" x14ac:dyDescent="0.25">
      <c r="A476" s="4">
        <f>Données_Planning!A474</f>
        <v>0</v>
      </c>
      <c r="B476" s="6">
        <f>Données_Planning!B474</f>
        <v>0</v>
      </c>
      <c r="C476" s="28">
        <f>Données_Planning!C474</f>
        <v>0</v>
      </c>
      <c r="D476" s="50">
        <f t="shared" si="63"/>
        <v>0</v>
      </c>
      <c r="E476" s="51">
        <f t="shared" si="64"/>
        <v>0</v>
      </c>
      <c r="F476" s="52">
        <f t="shared" si="65"/>
        <v>0</v>
      </c>
      <c r="G476" s="47">
        <f>Données_Planning!L474</f>
        <v>0</v>
      </c>
      <c r="H476" s="18">
        <f>Données_Planning!H474</f>
        <v>0</v>
      </c>
      <c r="I476" s="5">
        <f>Données_Planning!D474</f>
        <v>0</v>
      </c>
      <c r="J476" s="22">
        <f>Données_Planning!F474</f>
        <v>0</v>
      </c>
      <c r="K476" s="22">
        <f>Données_Planning!E474</f>
        <v>0</v>
      </c>
      <c r="L476" s="35">
        <f>Données_Planning!G474</f>
        <v>0</v>
      </c>
      <c r="M476" s="37">
        <f>(IF(OR(A476="DWF",A476="DNF"),0,QUOTIENT(Données_Planning!J474,60)))</f>
        <v>0</v>
      </c>
      <c r="N476" s="7" t="str">
        <f t="shared" si="66"/>
        <v>min</v>
      </c>
      <c r="O476" s="36">
        <f>(IF(OR(A476="DWF",A476="DNF"),Données_Planning!J474,MOD(Données_Planning!J474,60)))</f>
        <v>0</v>
      </c>
      <c r="P476" s="28" t="str">
        <f t="shared" si="67"/>
        <v>s</v>
      </c>
      <c r="Q476" s="37">
        <f>(IF(OR(A476="DWF",A476="DNF"),0,QUOTIENT(Données_Planning!I474,60)))</f>
        <v>0</v>
      </c>
      <c r="R476" s="7" t="str">
        <f t="shared" si="68"/>
        <v>min</v>
      </c>
      <c r="S476" s="36">
        <f>(IF(OR(A476="DWF",A476="DNF"),Données_Planning!I474,MOD(Données_Planning!I474,60)))</f>
        <v>0</v>
      </c>
      <c r="T476" s="28" t="str">
        <f t="shared" si="69"/>
        <v>s</v>
      </c>
      <c r="U476" s="37">
        <f>(IF(OR(A476="DWF",A476="DNF"),0,QUOTIENT(Données_Planning!K474,60)))</f>
        <v>0</v>
      </c>
      <c r="V476" s="7" t="str">
        <f t="shared" si="70"/>
        <v>min</v>
      </c>
      <c r="W476" s="36">
        <f>(IF(OR(A476="DWF",A476="DNF"),Données_Planning!K474,MOD(Données_Planning!K474,60)))</f>
        <v>0</v>
      </c>
      <c r="X476" s="38" t="str">
        <f t="shared" si="71"/>
        <v>s</v>
      </c>
      <c r="Y476" s="42"/>
    </row>
    <row r="477" spans="1:25" ht="15.75" x14ac:dyDescent="0.25">
      <c r="A477" s="4">
        <f>Données_Planning!A475</f>
        <v>0</v>
      </c>
      <c r="B477" s="6">
        <f>Données_Planning!B475</f>
        <v>0</v>
      </c>
      <c r="C477" s="28">
        <f>Données_Planning!C475</f>
        <v>0</v>
      </c>
      <c r="D477" s="50">
        <f t="shared" si="63"/>
        <v>0</v>
      </c>
      <c r="E477" s="51">
        <f t="shared" si="64"/>
        <v>0</v>
      </c>
      <c r="F477" s="52">
        <f t="shared" si="65"/>
        <v>0</v>
      </c>
      <c r="G477" s="47">
        <f>Données_Planning!L475</f>
        <v>0</v>
      </c>
      <c r="H477" s="18">
        <f>Données_Planning!H475</f>
        <v>0</v>
      </c>
      <c r="I477" s="5">
        <f>Données_Planning!D475</f>
        <v>0</v>
      </c>
      <c r="J477" s="22">
        <f>Données_Planning!F475</f>
        <v>0</v>
      </c>
      <c r="K477" s="22">
        <f>Données_Planning!E475</f>
        <v>0</v>
      </c>
      <c r="L477" s="35">
        <f>Données_Planning!G475</f>
        <v>0</v>
      </c>
      <c r="M477" s="37">
        <f>(IF(OR(A477="DWF",A477="DNF"),0,QUOTIENT(Données_Planning!J475,60)))</f>
        <v>0</v>
      </c>
      <c r="N477" s="7" t="str">
        <f t="shared" si="66"/>
        <v>min</v>
      </c>
      <c r="O477" s="36">
        <f>(IF(OR(A477="DWF",A477="DNF"),Données_Planning!J475,MOD(Données_Planning!J475,60)))</f>
        <v>0</v>
      </c>
      <c r="P477" s="28" t="str">
        <f t="shared" si="67"/>
        <v>s</v>
      </c>
      <c r="Q477" s="37">
        <f>(IF(OR(A477="DWF",A477="DNF"),0,QUOTIENT(Données_Planning!I475,60)))</f>
        <v>0</v>
      </c>
      <c r="R477" s="7" t="str">
        <f t="shared" si="68"/>
        <v>min</v>
      </c>
      <c r="S477" s="36">
        <f>(IF(OR(A477="DWF",A477="DNF"),Données_Planning!I475,MOD(Données_Planning!I475,60)))</f>
        <v>0</v>
      </c>
      <c r="T477" s="28" t="str">
        <f t="shared" si="69"/>
        <v>s</v>
      </c>
      <c r="U477" s="37">
        <f>(IF(OR(A477="DWF",A477="DNF"),0,QUOTIENT(Données_Planning!K475,60)))</f>
        <v>0</v>
      </c>
      <c r="V477" s="7" t="str">
        <f t="shared" si="70"/>
        <v>min</v>
      </c>
      <c r="W477" s="36">
        <f>(IF(OR(A477="DWF",A477="DNF"),Données_Planning!K475,MOD(Données_Planning!K475,60)))</f>
        <v>0</v>
      </c>
      <c r="X477" s="38" t="str">
        <f t="shared" si="71"/>
        <v>s</v>
      </c>
      <c r="Y477" s="42"/>
    </row>
    <row r="478" spans="1:25" ht="15.75" x14ac:dyDescent="0.25">
      <c r="A478" s="4">
        <f>Données_Planning!A476</f>
        <v>0</v>
      </c>
      <c r="B478" s="6">
        <f>Données_Planning!B476</f>
        <v>0</v>
      </c>
      <c r="C478" s="28">
        <f>Données_Planning!C476</f>
        <v>0</v>
      </c>
      <c r="D478" s="50">
        <f t="shared" si="63"/>
        <v>0</v>
      </c>
      <c r="E478" s="51">
        <f t="shared" si="64"/>
        <v>0</v>
      </c>
      <c r="F478" s="52">
        <f t="shared" si="65"/>
        <v>0</v>
      </c>
      <c r="G478" s="47">
        <f>Données_Planning!L476</f>
        <v>0</v>
      </c>
      <c r="H478" s="18">
        <f>Données_Planning!H476</f>
        <v>0</v>
      </c>
      <c r="I478" s="5">
        <f>Données_Planning!D476</f>
        <v>0</v>
      </c>
      <c r="J478" s="22">
        <f>Données_Planning!F476</f>
        <v>0</v>
      </c>
      <c r="K478" s="22">
        <f>Données_Planning!E476</f>
        <v>0</v>
      </c>
      <c r="L478" s="35">
        <f>Données_Planning!G476</f>
        <v>0</v>
      </c>
      <c r="M478" s="37">
        <f>(IF(OR(A478="DWF",A478="DNF"),0,QUOTIENT(Données_Planning!J476,60)))</f>
        <v>0</v>
      </c>
      <c r="N478" s="7" t="str">
        <f t="shared" si="66"/>
        <v>min</v>
      </c>
      <c r="O478" s="36">
        <f>(IF(OR(A478="DWF",A478="DNF"),Données_Planning!J476,MOD(Données_Planning!J476,60)))</f>
        <v>0</v>
      </c>
      <c r="P478" s="28" t="str">
        <f t="shared" si="67"/>
        <v>s</v>
      </c>
      <c r="Q478" s="37">
        <f>(IF(OR(A478="DWF",A478="DNF"),0,QUOTIENT(Données_Planning!I476,60)))</f>
        <v>0</v>
      </c>
      <c r="R478" s="7" t="str">
        <f t="shared" si="68"/>
        <v>min</v>
      </c>
      <c r="S478" s="36">
        <f>(IF(OR(A478="DWF",A478="DNF"),Données_Planning!I476,MOD(Données_Planning!I476,60)))</f>
        <v>0</v>
      </c>
      <c r="T478" s="28" t="str">
        <f t="shared" si="69"/>
        <v>s</v>
      </c>
      <c r="U478" s="37">
        <f>(IF(OR(A478="DWF",A478="DNF"),0,QUOTIENT(Données_Planning!K476,60)))</f>
        <v>0</v>
      </c>
      <c r="V478" s="7" t="str">
        <f t="shared" si="70"/>
        <v>min</v>
      </c>
      <c r="W478" s="36">
        <f>(IF(OR(A478="DWF",A478="DNF"),Données_Planning!K476,MOD(Données_Planning!K476,60)))</f>
        <v>0</v>
      </c>
      <c r="X478" s="38" t="str">
        <f t="shared" si="71"/>
        <v>s</v>
      </c>
      <c r="Y478" s="42"/>
    </row>
    <row r="479" spans="1:25" ht="15.75" x14ac:dyDescent="0.25">
      <c r="A479" s="4">
        <f>Données_Planning!A477</f>
        <v>0</v>
      </c>
      <c r="B479" s="6">
        <f>Données_Planning!B477</f>
        <v>0</v>
      </c>
      <c r="C479" s="28">
        <f>Données_Planning!C477</f>
        <v>0</v>
      </c>
      <c r="D479" s="50">
        <f t="shared" si="63"/>
        <v>0</v>
      </c>
      <c r="E479" s="51">
        <f t="shared" si="64"/>
        <v>0</v>
      </c>
      <c r="F479" s="52">
        <f t="shared" si="65"/>
        <v>0</v>
      </c>
      <c r="G479" s="47">
        <f>Données_Planning!L477</f>
        <v>0</v>
      </c>
      <c r="H479" s="18">
        <f>Données_Planning!H477</f>
        <v>0</v>
      </c>
      <c r="I479" s="5">
        <f>Données_Planning!D477</f>
        <v>0</v>
      </c>
      <c r="J479" s="22">
        <f>Données_Planning!F477</f>
        <v>0</v>
      </c>
      <c r="K479" s="22">
        <f>Données_Planning!E477</f>
        <v>0</v>
      </c>
      <c r="L479" s="35">
        <f>Données_Planning!G477</f>
        <v>0</v>
      </c>
      <c r="M479" s="37">
        <f>(IF(OR(A479="DWF",A479="DNF"),0,QUOTIENT(Données_Planning!J477,60)))</f>
        <v>0</v>
      </c>
      <c r="N479" s="7" t="str">
        <f t="shared" si="66"/>
        <v>min</v>
      </c>
      <c r="O479" s="36">
        <f>(IF(OR(A479="DWF",A479="DNF"),Données_Planning!J477,MOD(Données_Planning!J477,60)))</f>
        <v>0</v>
      </c>
      <c r="P479" s="28" t="str">
        <f t="shared" si="67"/>
        <v>s</v>
      </c>
      <c r="Q479" s="37">
        <f>(IF(OR(A479="DWF",A479="DNF"),0,QUOTIENT(Données_Planning!I477,60)))</f>
        <v>0</v>
      </c>
      <c r="R479" s="7" t="str">
        <f t="shared" si="68"/>
        <v>min</v>
      </c>
      <c r="S479" s="36">
        <f>(IF(OR(A479="DWF",A479="DNF"),Données_Planning!I477,MOD(Données_Planning!I477,60)))</f>
        <v>0</v>
      </c>
      <c r="T479" s="28" t="str">
        <f t="shared" si="69"/>
        <v>s</v>
      </c>
      <c r="U479" s="37">
        <f>(IF(OR(A479="DWF",A479="DNF"),0,QUOTIENT(Données_Planning!K477,60)))</f>
        <v>0</v>
      </c>
      <c r="V479" s="7" t="str">
        <f t="shared" si="70"/>
        <v>min</v>
      </c>
      <c r="W479" s="36">
        <f>(IF(OR(A479="DWF",A479="DNF"),Données_Planning!K477,MOD(Données_Planning!K477,60)))</f>
        <v>0</v>
      </c>
      <c r="X479" s="38" t="str">
        <f t="shared" si="71"/>
        <v>s</v>
      </c>
      <c r="Y479" s="42"/>
    </row>
    <row r="480" spans="1:25" ht="15.75" x14ac:dyDescent="0.25">
      <c r="A480" s="4">
        <f>Données_Planning!A478</f>
        <v>0</v>
      </c>
      <c r="B480" s="6">
        <f>Données_Planning!B478</f>
        <v>0</v>
      </c>
      <c r="C480" s="28">
        <f>Données_Planning!C478</f>
        <v>0</v>
      </c>
      <c r="D480" s="50">
        <f t="shared" si="63"/>
        <v>0</v>
      </c>
      <c r="E480" s="51">
        <f t="shared" si="64"/>
        <v>0</v>
      </c>
      <c r="F480" s="52">
        <f t="shared" si="65"/>
        <v>0</v>
      </c>
      <c r="G480" s="47">
        <f>Données_Planning!L478</f>
        <v>0</v>
      </c>
      <c r="H480" s="18">
        <f>Données_Planning!H478</f>
        <v>0</v>
      </c>
      <c r="I480" s="5">
        <f>Données_Planning!D478</f>
        <v>0</v>
      </c>
      <c r="J480" s="22">
        <f>Données_Planning!F478</f>
        <v>0</v>
      </c>
      <c r="K480" s="22">
        <f>Données_Planning!E478</f>
        <v>0</v>
      </c>
      <c r="L480" s="35">
        <f>Données_Planning!G478</f>
        <v>0</v>
      </c>
      <c r="M480" s="37">
        <f>(IF(OR(A480="DWF",A480="DNF"),0,QUOTIENT(Données_Planning!J478,60)))</f>
        <v>0</v>
      </c>
      <c r="N480" s="7" t="str">
        <f t="shared" si="66"/>
        <v>min</v>
      </c>
      <c r="O480" s="36">
        <f>(IF(OR(A480="DWF",A480="DNF"),Données_Planning!J478,MOD(Données_Planning!J478,60)))</f>
        <v>0</v>
      </c>
      <c r="P480" s="28" t="str">
        <f t="shared" si="67"/>
        <v>s</v>
      </c>
      <c r="Q480" s="37">
        <f>(IF(OR(A480="DWF",A480="DNF"),0,QUOTIENT(Données_Planning!I478,60)))</f>
        <v>0</v>
      </c>
      <c r="R480" s="7" t="str">
        <f t="shared" si="68"/>
        <v>min</v>
      </c>
      <c r="S480" s="36">
        <f>(IF(OR(A480="DWF",A480="DNF"),Données_Planning!I478,MOD(Données_Planning!I478,60)))</f>
        <v>0</v>
      </c>
      <c r="T480" s="28" t="str">
        <f t="shared" si="69"/>
        <v>s</v>
      </c>
      <c r="U480" s="37">
        <f>(IF(OR(A480="DWF",A480="DNF"),0,QUOTIENT(Données_Planning!K478,60)))</f>
        <v>0</v>
      </c>
      <c r="V480" s="7" t="str">
        <f t="shared" si="70"/>
        <v>min</v>
      </c>
      <c r="W480" s="36">
        <f>(IF(OR(A480="DWF",A480="DNF"),Données_Planning!K478,MOD(Données_Planning!K478,60)))</f>
        <v>0</v>
      </c>
      <c r="X480" s="38" t="str">
        <f t="shared" si="71"/>
        <v>s</v>
      </c>
      <c r="Y480" s="42"/>
    </row>
    <row r="481" spans="1:25" ht="15.75" x14ac:dyDescent="0.25">
      <c r="A481" s="4">
        <f>Données_Planning!A479</f>
        <v>0</v>
      </c>
      <c r="B481" s="6">
        <f>Données_Planning!B479</f>
        <v>0</v>
      </c>
      <c r="C481" s="28">
        <f>Données_Planning!C479</f>
        <v>0</v>
      </c>
      <c r="D481" s="50">
        <f t="shared" si="63"/>
        <v>0</v>
      </c>
      <c r="E481" s="51">
        <f t="shared" si="64"/>
        <v>0</v>
      </c>
      <c r="F481" s="52">
        <f t="shared" si="65"/>
        <v>0</v>
      </c>
      <c r="G481" s="47">
        <f>Données_Planning!L479</f>
        <v>0</v>
      </c>
      <c r="H481" s="18">
        <f>Données_Planning!H479</f>
        <v>0</v>
      </c>
      <c r="I481" s="5">
        <f>Données_Planning!D479</f>
        <v>0</v>
      </c>
      <c r="J481" s="22">
        <f>Données_Planning!F479</f>
        <v>0</v>
      </c>
      <c r="K481" s="22">
        <f>Données_Planning!E479</f>
        <v>0</v>
      </c>
      <c r="L481" s="35">
        <f>Données_Planning!G479</f>
        <v>0</v>
      </c>
      <c r="M481" s="37">
        <f>(IF(OR(A481="DWF",A481="DNF"),0,QUOTIENT(Données_Planning!J479,60)))</f>
        <v>0</v>
      </c>
      <c r="N481" s="7" t="str">
        <f t="shared" si="66"/>
        <v>min</v>
      </c>
      <c r="O481" s="36">
        <f>(IF(OR(A481="DWF",A481="DNF"),Données_Planning!J479,MOD(Données_Planning!J479,60)))</f>
        <v>0</v>
      </c>
      <c r="P481" s="28" t="str">
        <f t="shared" si="67"/>
        <v>s</v>
      </c>
      <c r="Q481" s="37">
        <f>(IF(OR(A481="DWF",A481="DNF"),0,QUOTIENT(Données_Planning!I479,60)))</f>
        <v>0</v>
      </c>
      <c r="R481" s="7" t="str">
        <f t="shared" si="68"/>
        <v>min</v>
      </c>
      <c r="S481" s="36">
        <f>(IF(OR(A481="DWF",A481="DNF"),Données_Planning!I479,MOD(Données_Planning!I479,60)))</f>
        <v>0</v>
      </c>
      <c r="T481" s="28" t="str">
        <f t="shared" si="69"/>
        <v>s</v>
      </c>
      <c r="U481" s="37">
        <f>(IF(OR(A481="DWF",A481="DNF"),0,QUOTIENT(Données_Planning!K479,60)))</f>
        <v>0</v>
      </c>
      <c r="V481" s="7" t="str">
        <f t="shared" si="70"/>
        <v>min</v>
      </c>
      <c r="W481" s="36">
        <f>(IF(OR(A481="DWF",A481="DNF"),Données_Planning!K479,MOD(Données_Planning!K479,60)))</f>
        <v>0</v>
      </c>
      <c r="X481" s="38" t="str">
        <f t="shared" si="71"/>
        <v>s</v>
      </c>
      <c r="Y481" s="42"/>
    </row>
    <row r="482" spans="1:25" ht="15.75" x14ac:dyDescent="0.25">
      <c r="A482" s="4">
        <f>Données_Planning!A480</f>
        <v>0</v>
      </c>
      <c r="B482" s="6">
        <f>Données_Planning!B480</f>
        <v>0</v>
      </c>
      <c r="C482" s="28">
        <f>Données_Planning!C480</f>
        <v>0</v>
      </c>
      <c r="D482" s="50">
        <f t="shared" si="63"/>
        <v>0</v>
      </c>
      <c r="E482" s="51">
        <f t="shared" si="64"/>
        <v>0</v>
      </c>
      <c r="F482" s="52">
        <f t="shared" si="65"/>
        <v>0</v>
      </c>
      <c r="G482" s="47">
        <f>Données_Planning!L480</f>
        <v>0</v>
      </c>
      <c r="H482" s="18">
        <f>Données_Planning!H480</f>
        <v>0</v>
      </c>
      <c r="I482" s="5">
        <f>Données_Planning!D480</f>
        <v>0</v>
      </c>
      <c r="J482" s="22">
        <f>Données_Planning!F480</f>
        <v>0</v>
      </c>
      <c r="K482" s="22">
        <f>Données_Planning!E480</f>
        <v>0</v>
      </c>
      <c r="L482" s="35">
        <f>Données_Planning!G480</f>
        <v>0</v>
      </c>
      <c r="M482" s="37">
        <f>(IF(OR(A482="DWF",A482="DNF"),0,QUOTIENT(Données_Planning!J480,60)))</f>
        <v>0</v>
      </c>
      <c r="N482" s="7" t="str">
        <f t="shared" si="66"/>
        <v>min</v>
      </c>
      <c r="O482" s="36">
        <f>(IF(OR(A482="DWF",A482="DNF"),Données_Planning!J480,MOD(Données_Planning!J480,60)))</f>
        <v>0</v>
      </c>
      <c r="P482" s="28" t="str">
        <f t="shared" si="67"/>
        <v>s</v>
      </c>
      <c r="Q482" s="37">
        <f>(IF(OR(A482="DWF",A482="DNF"),0,QUOTIENT(Données_Planning!I480,60)))</f>
        <v>0</v>
      </c>
      <c r="R482" s="7" t="str">
        <f t="shared" si="68"/>
        <v>min</v>
      </c>
      <c r="S482" s="36">
        <f>(IF(OR(A482="DWF",A482="DNF"),Données_Planning!I480,MOD(Données_Planning!I480,60)))</f>
        <v>0</v>
      </c>
      <c r="T482" s="28" t="str">
        <f t="shared" si="69"/>
        <v>s</v>
      </c>
      <c r="U482" s="37">
        <f>(IF(OR(A482="DWF",A482="DNF"),0,QUOTIENT(Données_Planning!K480,60)))</f>
        <v>0</v>
      </c>
      <c r="V482" s="7" t="str">
        <f t="shared" si="70"/>
        <v>min</v>
      </c>
      <c r="W482" s="36">
        <f>(IF(OR(A482="DWF",A482="DNF"),Données_Planning!K480,MOD(Données_Planning!K480,60)))</f>
        <v>0</v>
      </c>
      <c r="X482" s="38" t="str">
        <f t="shared" si="71"/>
        <v>s</v>
      </c>
      <c r="Y482" s="42"/>
    </row>
    <row r="483" spans="1:25" ht="15.75" x14ac:dyDescent="0.25">
      <c r="A483" s="4">
        <f>Données_Planning!A481</f>
        <v>0</v>
      </c>
      <c r="B483" s="6">
        <f>Données_Planning!B481</f>
        <v>0</v>
      </c>
      <c r="C483" s="28">
        <f>Données_Planning!C481</f>
        <v>0</v>
      </c>
      <c r="D483" s="50">
        <f t="shared" si="63"/>
        <v>0</v>
      </c>
      <c r="E483" s="51">
        <f t="shared" si="64"/>
        <v>0</v>
      </c>
      <c r="F483" s="52">
        <f t="shared" si="65"/>
        <v>0</v>
      </c>
      <c r="G483" s="47">
        <f>Données_Planning!L481</f>
        <v>0</v>
      </c>
      <c r="H483" s="18">
        <f>Données_Planning!H481</f>
        <v>0</v>
      </c>
      <c r="I483" s="5">
        <f>Données_Planning!D481</f>
        <v>0</v>
      </c>
      <c r="J483" s="22">
        <f>Données_Planning!F481</f>
        <v>0</v>
      </c>
      <c r="K483" s="22">
        <f>Données_Planning!E481</f>
        <v>0</v>
      </c>
      <c r="L483" s="35">
        <f>Données_Planning!G481</f>
        <v>0</v>
      </c>
      <c r="M483" s="37">
        <f>(IF(OR(A483="DWF",A483="DNF"),0,QUOTIENT(Données_Planning!J481,60)))</f>
        <v>0</v>
      </c>
      <c r="N483" s="7" t="str">
        <f t="shared" si="66"/>
        <v>min</v>
      </c>
      <c r="O483" s="36">
        <f>(IF(OR(A483="DWF",A483="DNF"),Données_Planning!J481,MOD(Données_Planning!J481,60)))</f>
        <v>0</v>
      </c>
      <c r="P483" s="28" t="str">
        <f t="shared" si="67"/>
        <v>s</v>
      </c>
      <c r="Q483" s="37">
        <f>(IF(OR(A483="DWF",A483="DNF"),0,QUOTIENT(Données_Planning!I481,60)))</f>
        <v>0</v>
      </c>
      <c r="R483" s="7" t="str">
        <f t="shared" si="68"/>
        <v>min</v>
      </c>
      <c r="S483" s="36">
        <f>(IF(OR(A483="DWF",A483="DNF"),Données_Planning!I481,MOD(Données_Planning!I481,60)))</f>
        <v>0</v>
      </c>
      <c r="T483" s="28" t="str">
        <f t="shared" si="69"/>
        <v>s</v>
      </c>
      <c r="U483" s="37">
        <f>(IF(OR(A483="DWF",A483="DNF"),0,QUOTIENT(Données_Planning!K481,60)))</f>
        <v>0</v>
      </c>
      <c r="V483" s="7" t="str">
        <f t="shared" si="70"/>
        <v>min</v>
      </c>
      <c r="W483" s="36">
        <f>(IF(OR(A483="DWF",A483="DNF"),Données_Planning!K481,MOD(Données_Planning!K481,60)))</f>
        <v>0</v>
      </c>
      <c r="X483" s="38" t="str">
        <f t="shared" si="71"/>
        <v>s</v>
      </c>
      <c r="Y483" s="42"/>
    </row>
    <row r="484" spans="1:25" ht="15.75" x14ac:dyDescent="0.25">
      <c r="A484" s="4">
        <f>Données_Planning!A482</f>
        <v>0</v>
      </c>
      <c r="B484" s="6">
        <f>Données_Planning!B482</f>
        <v>0</v>
      </c>
      <c r="C484" s="28">
        <f>Données_Planning!C482</f>
        <v>0</v>
      </c>
      <c r="D484" s="50">
        <f t="shared" si="63"/>
        <v>0</v>
      </c>
      <c r="E484" s="51">
        <f t="shared" si="64"/>
        <v>0</v>
      </c>
      <c r="F484" s="52">
        <f t="shared" si="65"/>
        <v>0</v>
      </c>
      <c r="G484" s="47">
        <f>Données_Planning!L482</f>
        <v>0</v>
      </c>
      <c r="H484" s="18">
        <f>Données_Planning!H482</f>
        <v>0</v>
      </c>
      <c r="I484" s="5">
        <f>Données_Planning!D482</f>
        <v>0</v>
      </c>
      <c r="J484" s="22">
        <f>Données_Planning!F482</f>
        <v>0</v>
      </c>
      <c r="K484" s="22">
        <f>Données_Planning!E482</f>
        <v>0</v>
      </c>
      <c r="L484" s="35">
        <f>Données_Planning!G482</f>
        <v>0</v>
      </c>
      <c r="M484" s="37">
        <f>(IF(OR(A484="DWF",A484="DNF"),0,QUOTIENT(Données_Planning!J482,60)))</f>
        <v>0</v>
      </c>
      <c r="N484" s="7" t="str">
        <f t="shared" si="66"/>
        <v>min</v>
      </c>
      <c r="O484" s="36">
        <f>(IF(OR(A484="DWF",A484="DNF"),Données_Planning!J482,MOD(Données_Planning!J482,60)))</f>
        <v>0</v>
      </c>
      <c r="P484" s="28" t="str">
        <f t="shared" si="67"/>
        <v>s</v>
      </c>
      <c r="Q484" s="37">
        <f>(IF(OR(A484="DWF",A484="DNF"),0,QUOTIENT(Données_Planning!I482,60)))</f>
        <v>0</v>
      </c>
      <c r="R484" s="7" t="str">
        <f t="shared" si="68"/>
        <v>min</v>
      </c>
      <c r="S484" s="36">
        <f>(IF(OR(A484="DWF",A484="DNF"),Données_Planning!I482,MOD(Données_Planning!I482,60)))</f>
        <v>0</v>
      </c>
      <c r="T484" s="28" t="str">
        <f t="shared" si="69"/>
        <v>s</v>
      </c>
      <c r="U484" s="37">
        <f>(IF(OR(A484="DWF",A484="DNF"),0,QUOTIENT(Données_Planning!K482,60)))</f>
        <v>0</v>
      </c>
      <c r="V484" s="7" t="str">
        <f t="shared" si="70"/>
        <v>min</v>
      </c>
      <c r="W484" s="36">
        <f>(IF(OR(A484="DWF",A484="DNF"),Données_Planning!K482,MOD(Données_Planning!K482,60)))</f>
        <v>0</v>
      </c>
      <c r="X484" s="38" t="str">
        <f t="shared" si="71"/>
        <v>s</v>
      </c>
      <c r="Y484" s="42"/>
    </row>
    <row r="485" spans="1:25" ht="15.75" x14ac:dyDescent="0.25">
      <c r="A485" s="4">
        <f>Données_Planning!A483</f>
        <v>0</v>
      </c>
      <c r="B485" s="6">
        <f>Données_Planning!B483</f>
        <v>0</v>
      </c>
      <c r="C485" s="28">
        <f>Données_Planning!C483</f>
        <v>0</v>
      </c>
      <c r="D485" s="50">
        <f t="shared" si="63"/>
        <v>0</v>
      </c>
      <c r="E485" s="51">
        <f t="shared" si="64"/>
        <v>0</v>
      </c>
      <c r="F485" s="52">
        <f t="shared" si="65"/>
        <v>0</v>
      </c>
      <c r="G485" s="47">
        <f>Données_Planning!L483</f>
        <v>0</v>
      </c>
      <c r="H485" s="18">
        <f>Données_Planning!H483</f>
        <v>0</v>
      </c>
      <c r="I485" s="5">
        <f>Données_Planning!D483</f>
        <v>0</v>
      </c>
      <c r="J485" s="22">
        <f>Données_Planning!F483</f>
        <v>0</v>
      </c>
      <c r="K485" s="22">
        <f>Données_Planning!E483</f>
        <v>0</v>
      </c>
      <c r="L485" s="35">
        <f>Données_Planning!G483</f>
        <v>0</v>
      </c>
      <c r="M485" s="37">
        <f>(IF(OR(A485="DWF",A485="DNF"),0,QUOTIENT(Données_Planning!J483,60)))</f>
        <v>0</v>
      </c>
      <c r="N485" s="7" t="str">
        <f t="shared" si="66"/>
        <v>min</v>
      </c>
      <c r="O485" s="36">
        <f>(IF(OR(A485="DWF",A485="DNF"),Données_Planning!J483,MOD(Données_Planning!J483,60)))</f>
        <v>0</v>
      </c>
      <c r="P485" s="28" t="str">
        <f t="shared" si="67"/>
        <v>s</v>
      </c>
      <c r="Q485" s="37">
        <f>(IF(OR(A485="DWF",A485="DNF"),0,QUOTIENT(Données_Planning!I483,60)))</f>
        <v>0</v>
      </c>
      <c r="R485" s="7" t="str">
        <f t="shared" si="68"/>
        <v>min</v>
      </c>
      <c r="S485" s="36">
        <f>(IF(OR(A485="DWF",A485="DNF"),Données_Planning!I483,MOD(Données_Planning!I483,60)))</f>
        <v>0</v>
      </c>
      <c r="T485" s="28" t="str">
        <f t="shared" si="69"/>
        <v>s</v>
      </c>
      <c r="U485" s="37">
        <f>(IF(OR(A485="DWF",A485="DNF"),0,QUOTIENT(Données_Planning!K483,60)))</f>
        <v>0</v>
      </c>
      <c r="V485" s="7" t="str">
        <f t="shared" si="70"/>
        <v>min</v>
      </c>
      <c r="W485" s="36">
        <f>(IF(OR(A485="DWF",A485="DNF"),Données_Planning!K483,MOD(Données_Planning!K483,60)))</f>
        <v>0</v>
      </c>
      <c r="X485" s="38" t="str">
        <f t="shared" si="71"/>
        <v>s</v>
      </c>
      <c r="Y485" s="42"/>
    </row>
    <row r="486" spans="1:25" ht="15.75" x14ac:dyDescent="0.25">
      <c r="A486" s="4">
        <f>Données_Planning!A484</f>
        <v>0</v>
      </c>
      <c r="B486" s="6">
        <f>Données_Planning!B484</f>
        <v>0</v>
      </c>
      <c r="C486" s="28">
        <f>Données_Planning!C484</f>
        <v>0</v>
      </c>
      <c r="D486" s="50">
        <f t="shared" si="63"/>
        <v>0</v>
      </c>
      <c r="E486" s="51">
        <f t="shared" si="64"/>
        <v>0</v>
      </c>
      <c r="F486" s="52">
        <f t="shared" si="65"/>
        <v>0</v>
      </c>
      <c r="G486" s="47">
        <f>Données_Planning!L484</f>
        <v>0</v>
      </c>
      <c r="H486" s="18">
        <f>Données_Planning!H484</f>
        <v>0</v>
      </c>
      <c r="I486" s="5">
        <f>Données_Planning!D484</f>
        <v>0</v>
      </c>
      <c r="J486" s="22">
        <f>Données_Planning!F484</f>
        <v>0</v>
      </c>
      <c r="K486" s="22">
        <f>Données_Planning!E484</f>
        <v>0</v>
      </c>
      <c r="L486" s="35">
        <f>Données_Planning!G484</f>
        <v>0</v>
      </c>
      <c r="M486" s="37">
        <f>(IF(OR(A486="DWF",A486="DNF"),0,QUOTIENT(Données_Planning!J484,60)))</f>
        <v>0</v>
      </c>
      <c r="N486" s="7" t="str">
        <f t="shared" si="66"/>
        <v>min</v>
      </c>
      <c r="O486" s="36">
        <f>(IF(OR(A486="DWF",A486="DNF"),Données_Planning!J484,MOD(Données_Planning!J484,60)))</f>
        <v>0</v>
      </c>
      <c r="P486" s="28" t="str">
        <f t="shared" si="67"/>
        <v>s</v>
      </c>
      <c r="Q486" s="37">
        <f>(IF(OR(A486="DWF",A486="DNF"),0,QUOTIENT(Données_Planning!I484,60)))</f>
        <v>0</v>
      </c>
      <c r="R486" s="7" t="str">
        <f t="shared" si="68"/>
        <v>min</v>
      </c>
      <c r="S486" s="36">
        <f>(IF(OR(A486="DWF",A486="DNF"),Données_Planning!I484,MOD(Données_Planning!I484,60)))</f>
        <v>0</v>
      </c>
      <c r="T486" s="28" t="str">
        <f t="shared" si="69"/>
        <v>s</v>
      </c>
      <c r="U486" s="37">
        <f>(IF(OR(A486="DWF",A486="DNF"),0,QUOTIENT(Données_Planning!K484,60)))</f>
        <v>0</v>
      </c>
      <c r="V486" s="7" t="str">
        <f t="shared" si="70"/>
        <v>min</v>
      </c>
      <c r="W486" s="36">
        <f>(IF(OR(A486="DWF",A486="DNF"),Données_Planning!K484,MOD(Données_Planning!K484,60)))</f>
        <v>0</v>
      </c>
      <c r="X486" s="38" t="str">
        <f t="shared" si="71"/>
        <v>s</v>
      </c>
      <c r="Y486" s="42"/>
    </row>
    <row r="487" spans="1:25" ht="15.75" x14ac:dyDescent="0.25">
      <c r="A487" s="4">
        <f>Données_Planning!A485</f>
        <v>0</v>
      </c>
      <c r="B487" s="6">
        <f>Données_Planning!B485</f>
        <v>0</v>
      </c>
      <c r="C487" s="28">
        <f>Données_Planning!C485</f>
        <v>0</v>
      </c>
      <c r="D487" s="50">
        <f t="shared" si="63"/>
        <v>0</v>
      </c>
      <c r="E487" s="51">
        <f t="shared" si="64"/>
        <v>0</v>
      </c>
      <c r="F487" s="52">
        <f t="shared" si="65"/>
        <v>0</v>
      </c>
      <c r="G487" s="47">
        <f>Données_Planning!L485</f>
        <v>0</v>
      </c>
      <c r="H487" s="18">
        <f>Données_Planning!H485</f>
        <v>0</v>
      </c>
      <c r="I487" s="5">
        <f>Données_Planning!D485</f>
        <v>0</v>
      </c>
      <c r="J487" s="22">
        <f>Données_Planning!F485</f>
        <v>0</v>
      </c>
      <c r="K487" s="22">
        <f>Données_Planning!E485</f>
        <v>0</v>
      </c>
      <c r="L487" s="35">
        <f>Données_Planning!G485</f>
        <v>0</v>
      </c>
      <c r="M487" s="37">
        <f>(IF(OR(A487="DWF",A487="DNF"),0,QUOTIENT(Données_Planning!J485,60)))</f>
        <v>0</v>
      </c>
      <c r="N487" s="7" t="str">
        <f t="shared" si="66"/>
        <v>min</v>
      </c>
      <c r="O487" s="36">
        <f>(IF(OR(A487="DWF",A487="DNF"),Données_Planning!J485,MOD(Données_Planning!J485,60)))</f>
        <v>0</v>
      </c>
      <c r="P487" s="28" t="str">
        <f t="shared" si="67"/>
        <v>s</v>
      </c>
      <c r="Q487" s="37">
        <f>(IF(OR(A487="DWF",A487="DNF"),0,QUOTIENT(Données_Planning!I485,60)))</f>
        <v>0</v>
      </c>
      <c r="R487" s="7" t="str">
        <f t="shared" si="68"/>
        <v>min</v>
      </c>
      <c r="S487" s="36">
        <f>(IF(OR(A487="DWF",A487="DNF"),Données_Planning!I485,MOD(Données_Planning!I485,60)))</f>
        <v>0</v>
      </c>
      <c r="T487" s="28" t="str">
        <f t="shared" si="69"/>
        <v>s</v>
      </c>
      <c r="U487" s="37">
        <f>(IF(OR(A487="DWF",A487="DNF"),0,QUOTIENT(Données_Planning!K485,60)))</f>
        <v>0</v>
      </c>
      <c r="V487" s="7" t="str">
        <f t="shared" si="70"/>
        <v>min</v>
      </c>
      <c r="W487" s="36">
        <f>(IF(OR(A487="DWF",A487="DNF"),Données_Planning!K485,MOD(Données_Planning!K485,60)))</f>
        <v>0</v>
      </c>
      <c r="X487" s="38" t="str">
        <f t="shared" si="71"/>
        <v>s</v>
      </c>
      <c r="Y487" s="42"/>
    </row>
    <row r="488" spans="1:25" ht="15.75" x14ac:dyDescent="0.25">
      <c r="A488" s="4">
        <f>Données_Planning!A486</f>
        <v>0</v>
      </c>
      <c r="B488" s="6">
        <f>Données_Planning!B486</f>
        <v>0</v>
      </c>
      <c r="C488" s="28">
        <f>Données_Planning!C486</f>
        <v>0</v>
      </c>
      <c r="D488" s="50">
        <f t="shared" si="63"/>
        <v>0</v>
      </c>
      <c r="E488" s="51">
        <f t="shared" si="64"/>
        <v>0</v>
      </c>
      <c r="F488" s="52">
        <f t="shared" si="65"/>
        <v>0</v>
      </c>
      <c r="G488" s="47">
        <f>Données_Planning!L486</f>
        <v>0</v>
      </c>
      <c r="H488" s="18">
        <f>Données_Planning!H486</f>
        <v>0</v>
      </c>
      <c r="I488" s="5">
        <f>Données_Planning!D486</f>
        <v>0</v>
      </c>
      <c r="J488" s="22">
        <f>Données_Planning!F486</f>
        <v>0</v>
      </c>
      <c r="K488" s="22">
        <f>Données_Planning!E486</f>
        <v>0</v>
      </c>
      <c r="L488" s="35">
        <f>Données_Planning!G486</f>
        <v>0</v>
      </c>
      <c r="M488" s="37">
        <f>(IF(OR(A488="DWF",A488="DNF"),0,QUOTIENT(Données_Planning!J486,60)))</f>
        <v>0</v>
      </c>
      <c r="N488" s="7" t="str">
        <f t="shared" si="66"/>
        <v>min</v>
      </c>
      <c r="O488" s="36">
        <f>(IF(OR(A488="DWF",A488="DNF"),Données_Planning!J486,MOD(Données_Planning!J486,60)))</f>
        <v>0</v>
      </c>
      <c r="P488" s="28" t="str">
        <f t="shared" si="67"/>
        <v>s</v>
      </c>
      <c r="Q488" s="37">
        <f>(IF(OR(A488="DWF",A488="DNF"),0,QUOTIENT(Données_Planning!I486,60)))</f>
        <v>0</v>
      </c>
      <c r="R488" s="7" t="str">
        <f t="shared" si="68"/>
        <v>min</v>
      </c>
      <c r="S488" s="36">
        <f>(IF(OR(A488="DWF",A488="DNF"),Données_Planning!I486,MOD(Données_Planning!I486,60)))</f>
        <v>0</v>
      </c>
      <c r="T488" s="28" t="str">
        <f t="shared" si="69"/>
        <v>s</v>
      </c>
      <c r="U488" s="37">
        <f>(IF(OR(A488="DWF",A488="DNF"),0,QUOTIENT(Données_Planning!K486,60)))</f>
        <v>0</v>
      </c>
      <c r="V488" s="7" t="str">
        <f t="shared" si="70"/>
        <v>min</v>
      </c>
      <c r="W488" s="36">
        <f>(IF(OR(A488="DWF",A488="DNF"),Données_Planning!K486,MOD(Données_Planning!K486,60)))</f>
        <v>0</v>
      </c>
      <c r="X488" s="38" t="str">
        <f t="shared" si="71"/>
        <v>s</v>
      </c>
      <c r="Y488" s="42"/>
    </row>
    <row r="489" spans="1:25" ht="15.75" x14ac:dyDescent="0.25">
      <c r="A489" s="4">
        <f>Données_Planning!A487</f>
        <v>0</v>
      </c>
      <c r="B489" s="6">
        <f>Données_Planning!B487</f>
        <v>0</v>
      </c>
      <c r="C489" s="28">
        <f>Données_Planning!C487</f>
        <v>0</v>
      </c>
      <c r="D489" s="50">
        <f t="shared" si="63"/>
        <v>0</v>
      </c>
      <c r="E489" s="51">
        <f t="shared" si="64"/>
        <v>0</v>
      </c>
      <c r="F489" s="52">
        <f t="shared" si="65"/>
        <v>0</v>
      </c>
      <c r="G489" s="47">
        <f>Données_Planning!L487</f>
        <v>0</v>
      </c>
      <c r="H489" s="18">
        <f>Données_Planning!H487</f>
        <v>0</v>
      </c>
      <c r="I489" s="5">
        <f>Données_Planning!D487</f>
        <v>0</v>
      </c>
      <c r="J489" s="22">
        <f>Données_Planning!F487</f>
        <v>0</v>
      </c>
      <c r="K489" s="22">
        <f>Données_Planning!E487</f>
        <v>0</v>
      </c>
      <c r="L489" s="35">
        <f>Données_Planning!G487</f>
        <v>0</v>
      </c>
      <c r="M489" s="37">
        <f>(IF(OR(A489="DWF",A489="DNF"),0,QUOTIENT(Données_Planning!J487,60)))</f>
        <v>0</v>
      </c>
      <c r="N489" s="7" t="str">
        <f t="shared" si="66"/>
        <v>min</v>
      </c>
      <c r="O489" s="36">
        <f>(IF(OR(A489="DWF",A489="DNF"),Données_Planning!J487,MOD(Données_Planning!J487,60)))</f>
        <v>0</v>
      </c>
      <c r="P489" s="28" t="str">
        <f t="shared" si="67"/>
        <v>s</v>
      </c>
      <c r="Q489" s="37">
        <f>(IF(OR(A489="DWF",A489="DNF"),0,QUOTIENT(Données_Planning!I487,60)))</f>
        <v>0</v>
      </c>
      <c r="R489" s="7" t="str">
        <f t="shared" si="68"/>
        <v>min</v>
      </c>
      <c r="S489" s="36">
        <f>(IF(OR(A489="DWF",A489="DNF"),Données_Planning!I487,MOD(Données_Planning!I487,60)))</f>
        <v>0</v>
      </c>
      <c r="T489" s="28" t="str">
        <f t="shared" si="69"/>
        <v>s</v>
      </c>
      <c r="U489" s="37">
        <f>(IF(OR(A489="DWF",A489="DNF"),0,QUOTIENT(Données_Planning!K487,60)))</f>
        <v>0</v>
      </c>
      <c r="V489" s="7" t="str">
        <f t="shared" si="70"/>
        <v>min</v>
      </c>
      <c r="W489" s="36">
        <f>(IF(OR(A489="DWF",A489="DNF"),Données_Planning!K487,MOD(Données_Planning!K487,60)))</f>
        <v>0</v>
      </c>
      <c r="X489" s="38" t="str">
        <f t="shared" si="71"/>
        <v>s</v>
      </c>
      <c r="Y489" s="42"/>
    </row>
    <row r="490" spans="1:25" ht="15.75" x14ac:dyDescent="0.25">
      <c r="A490" s="4">
        <f>Données_Planning!A488</f>
        <v>0</v>
      </c>
      <c r="B490" s="6">
        <f>Données_Planning!B488</f>
        <v>0</v>
      </c>
      <c r="C490" s="28">
        <f>Données_Planning!C488</f>
        <v>0</v>
      </c>
      <c r="D490" s="50">
        <f t="shared" si="63"/>
        <v>0</v>
      </c>
      <c r="E490" s="51">
        <f t="shared" si="64"/>
        <v>0</v>
      </c>
      <c r="F490" s="52">
        <f t="shared" si="65"/>
        <v>0</v>
      </c>
      <c r="G490" s="47">
        <f>Données_Planning!L488</f>
        <v>0</v>
      </c>
      <c r="H490" s="18">
        <f>Données_Planning!H488</f>
        <v>0</v>
      </c>
      <c r="I490" s="5">
        <f>Données_Planning!D488</f>
        <v>0</v>
      </c>
      <c r="J490" s="22">
        <f>Données_Planning!F488</f>
        <v>0</v>
      </c>
      <c r="K490" s="22">
        <f>Données_Planning!E488</f>
        <v>0</v>
      </c>
      <c r="L490" s="35">
        <f>Données_Planning!G488</f>
        <v>0</v>
      </c>
      <c r="M490" s="37">
        <f>(IF(OR(A490="DWF",A490="DNF"),0,QUOTIENT(Données_Planning!J488,60)))</f>
        <v>0</v>
      </c>
      <c r="N490" s="7" t="str">
        <f t="shared" si="66"/>
        <v>min</v>
      </c>
      <c r="O490" s="36">
        <f>(IF(OR(A490="DWF",A490="DNF"),Données_Planning!J488,MOD(Données_Planning!J488,60)))</f>
        <v>0</v>
      </c>
      <c r="P490" s="28" t="str">
        <f t="shared" si="67"/>
        <v>s</v>
      </c>
      <c r="Q490" s="37">
        <f>(IF(OR(A490="DWF",A490="DNF"),0,QUOTIENT(Données_Planning!I488,60)))</f>
        <v>0</v>
      </c>
      <c r="R490" s="7" t="str">
        <f t="shared" si="68"/>
        <v>min</v>
      </c>
      <c r="S490" s="36">
        <f>(IF(OR(A490="DWF",A490="DNF"),Données_Planning!I488,MOD(Données_Planning!I488,60)))</f>
        <v>0</v>
      </c>
      <c r="T490" s="28" t="str">
        <f t="shared" si="69"/>
        <v>s</v>
      </c>
      <c r="U490" s="37">
        <f>(IF(OR(A490="DWF",A490="DNF"),0,QUOTIENT(Données_Planning!K488,60)))</f>
        <v>0</v>
      </c>
      <c r="V490" s="7" t="str">
        <f t="shared" si="70"/>
        <v>min</v>
      </c>
      <c r="W490" s="36">
        <f>(IF(OR(A490="DWF",A490="DNF"),Données_Planning!K488,MOD(Données_Planning!K488,60)))</f>
        <v>0</v>
      </c>
      <c r="X490" s="38" t="str">
        <f t="shared" si="71"/>
        <v>s</v>
      </c>
      <c r="Y490" s="42"/>
    </row>
    <row r="491" spans="1:25" ht="15.75" x14ac:dyDescent="0.25">
      <c r="A491" s="4">
        <f>Données_Planning!A489</f>
        <v>0</v>
      </c>
      <c r="B491" s="6">
        <f>Données_Planning!B489</f>
        <v>0</v>
      </c>
      <c r="C491" s="28">
        <f>Données_Planning!C489</f>
        <v>0</v>
      </c>
      <c r="D491" s="50">
        <f t="shared" si="63"/>
        <v>0</v>
      </c>
      <c r="E491" s="51">
        <f t="shared" si="64"/>
        <v>0</v>
      </c>
      <c r="F491" s="52">
        <f t="shared" si="65"/>
        <v>0</v>
      </c>
      <c r="G491" s="47">
        <f>Données_Planning!L489</f>
        <v>0</v>
      </c>
      <c r="H491" s="18">
        <f>Données_Planning!H489</f>
        <v>0</v>
      </c>
      <c r="I491" s="5">
        <f>Données_Planning!D489</f>
        <v>0</v>
      </c>
      <c r="J491" s="22">
        <f>Données_Planning!F489</f>
        <v>0</v>
      </c>
      <c r="K491" s="22">
        <f>Données_Planning!E489</f>
        <v>0</v>
      </c>
      <c r="L491" s="35">
        <f>Données_Planning!G489</f>
        <v>0</v>
      </c>
      <c r="M491" s="37">
        <f>(IF(OR(A491="DWF",A491="DNF"),0,QUOTIENT(Données_Planning!J489,60)))</f>
        <v>0</v>
      </c>
      <c r="N491" s="7" t="str">
        <f t="shared" si="66"/>
        <v>min</v>
      </c>
      <c r="O491" s="36">
        <f>(IF(OR(A491="DWF",A491="DNF"),Données_Planning!J489,MOD(Données_Planning!J489,60)))</f>
        <v>0</v>
      </c>
      <c r="P491" s="28" t="str">
        <f t="shared" si="67"/>
        <v>s</v>
      </c>
      <c r="Q491" s="37">
        <f>(IF(OR(A491="DWF",A491="DNF"),0,QUOTIENT(Données_Planning!I489,60)))</f>
        <v>0</v>
      </c>
      <c r="R491" s="7" t="str">
        <f t="shared" si="68"/>
        <v>min</v>
      </c>
      <c r="S491" s="36">
        <f>(IF(OR(A491="DWF",A491="DNF"),Données_Planning!I489,MOD(Données_Planning!I489,60)))</f>
        <v>0</v>
      </c>
      <c r="T491" s="28" t="str">
        <f t="shared" si="69"/>
        <v>s</v>
      </c>
      <c r="U491" s="37">
        <f>(IF(OR(A491="DWF",A491="DNF"),0,QUOTIENT(Données_Planning!K489,60)))</f>
        <v>0</v>
      </c>
      <c r="V491" s="7" t="str">
        <f t="shared" si="70"/>
        <v>min</v>
      </c>
      <c r="W491" s="36">
        <f>(IF(OR(A491="DWF",A491="DNF"),Données_Planning!K489,MOD(Données_Planning!K489,60)))</f>
        <v>0</v>
      </c>
      <c r="X491" s="38" t="str">
        <f t="shared" si="71"/>
        <v>s</v>
      </c>
      <c r="Y491" s="42"/>
    </row>
    <row r="492" spans="1:25" ht="15.75" x14ac:dyDescent="0.25">
      <c r="A492" s="4">
        <f>Données_Planning!A490</f>
        <v>0</v>
      </c>
      <c r="B492" s="6">
        <f>Données_Planning!B490</f>
        <v>0</v>
      </c>
      <c r="C492" s="28">
        <f>Données_Planning!C490</f>
        <v>0</v>
      </c>
      <c r="D492" s="50">
        <f t="shared" si="63"/>
        <v>0</v>
      </c>
      <c r="E492" s="51">
        <f t="shared" si="64"/>
        <v>0</v>
      </c>
      <c r="F492" s="52">
        <f t="shared" si="65"/>
        <v>0</v>
      </c>
      <c r="G492" s="47">
        <f>Données_Planning!L490</f>
        <v>0</v>
      </c>
      <c r="H492" s="18">
        <f>Données_Planning!H490</f>
        <v>0</v>
      </c>
      <c r="I492" s="5">
        <f>Données_Planning!D490</f>
        <v>0</v>
      </c>
      <c r="J492" s="22">
        <f>Données_Planning!F490</f>
        <v>0</v>
      </c>
      <c r="K492" s="22">
        <f>Données_Planning!E490</f>
        <v>0</v>
      </c>
      <c r="L492" s="35">
        <f>Données_Planning!G490</f>
        <v>0</v>
      </c>
      <c r="M492" s="37">
        <f>(IF(OR(A492="DWF",A492="DNF"),0,QUOTIENT(Données_Planning!J490,60)))</f>
        <v>0</v>
      </c>
      <c r="N492" s="7" t="str">
        <f t="shared" si="66"/>
        <v>min</v>
      </c>
      <c r="O492" s="36">
        <f>(IF(OR(A492="DWF",A492="DNF"),Données_Planning!J490,MOD(Données_Planning!J490,60)))</f>
        <v>0</v>
      </c>
      <c r="P492" s="28" t="str">
        <f t="shared" si="67"/>
        <v>s</v>
      </c>
      <c r="Q492" s="37">
        <f>(IF(OR(A492="DWF",A492="DNF"),0,QUOTIENT(Données_Planning!I490,60)))</f>
        <v>0</v>
      </c>
      <c r="R492" s="7" t="str">
        <f t="shared" si="68"/>
        <v>min</v>
      </c>
      <c r="S492" s="36">
        <f>(IF(OR(A492="DWF",A492="DNF"),Données_Planning!I490,MOD(Données_Planning!I490,60)))</f>
        <v>0</v>
      </c>
      <c r="T492" s="28" t="str">
        <f t="shared" si="69"/>
        <v>s</v>
      </c>
      <c r="U492" s="37">
        <f>(IF(OR(A492="DWF",A492="DNF"),0,QUOTIENT(Données_Planning!K490,60)))</f>
        <v>0</v>
      </c>
      <c r="V492" s="7" t="str">
        <f t="shared" si="70"/>
        <v>min</v>
      </c>
      <c r="W492" s="36">
        <f>(IF(OR(A492="DWF",A492="DNF"),Données_Planning!K490,MOD(Données_Planning!K490,60)))</f>
        <v>0</v>
      </c>
      <c r="X492" s="38" t="str">
        <f t="shared" si="71"/>
        <v>s</v>
      </c>
      <c r="Y492" s="42"/>
    </row>
    <row r="493" spans="1:25" ht="15.75" x14ac:dyDescent="0.25">
      <c r="A493" s="4">
        <f>Données_Planning!A491</f>
        <v>0</v>
      </c>
      <c r="B493" s="6">
        <f>Données_Planning!B491</f>
        <v>0</v>
      </c>
      <c r="C493" s="28">
        <f>Données_Planning!C491</f>
        <v>0</v>
      </c>
      <c r="D493" s="50">
        <f t="shared" si="63"/>
        <v>0</v>
      </c>
      <c r="E493" s="51">
        <f t="shared" si="64"/>
        <v>0</v>
      </c>
      <c r="F493" s="52">
        <f t="shared" si="65"/>
        <v>0</v>
      </c>
      <c r="G493" s="47">
        <f>Données_Planning!L491</f>
        <v>0</v>
      </c>
      <c r="H493" s="18">
        <f>Données_Planning!H491</f>
        <v>0</v>
      </c>
      <c r="I493" s="5">
        <f>Données_Planning!D491</f>
        <v>0</v>
      </c>
      <c r="J493" s="22">
        <f>Données_Planning!F491</f>
        <v>0</v>
      </c>
      <c r="K493" s="22">
        <f>Données_Planning!E491</f>
        <v>0</v>
      </c>
      <c r="L493" s="35">
        <f>Données_Planning!G491</f>
        <v>0</v>
      </c>
      <c r="M493" s="37">
        <f>(IF(OR(A493="DWF",A493="DNF"),0,QUOTIENT(Données_Planning!J491,60)))</f>
        <v>0</v>
      </c>
      <c r="N493" s="7" t="str">
        <f t="shared" si="66"/>
        <v>min</v>
      </c>
      <c r="O493" s="36">
        <f>(IF(OR(A493="DWF",A493="DNF"),Données_Planning!J491,MOD(Données_Planning!J491,60)))</f>
        <v>0</v>
      </c>
      <c r="P493" s="28" t="str">
        <f t="shared" si="67"/>
        <v>s</v>
      </c>
      <c r="Q493" s="37">
        <f>(IF(OR(A493="DWF",A493="DNF"),0,QUOTIENT(Données_Planning!I491,60)))</f>
        <v>0</v>
      </c>
      <c r="R493" s="7" t="str">
        <f t="shared" si="68"/>
        <v>min</v>
      </c>
      <c r="S493" s="36">
        <f>(IF(OR(A493="DWF",A493="DNF"),Données_Planning!I491,MOD(Données_Planning!I491,60)))</f>
        <v>0</v>
      </c>
      <c r="T493" s="28" t="str">
        <f t="shared" si="69"/>
        <v>s</v>
      </c>
      <c r="U493" s="37">
        <f>(IF(OR(A493="DWF",A493="DNF"),0,QUOTIENT(Données_Planning!K491,60)))</f>
        <v>0</v>
      </c>
      <c r="V493" s="7" t="str">
        <f t="shared" si="70"/>
        <v>min</v>
      </c>
      <c r="W493" s="36">
        <f>(IF(OR(A493="DWF",A493="DNF"),Données_Planning!K491,MOD(Données_Planning!K491,60)))</f>
        <v>0</v>
      </c>
      <c r="X493" s="38" t="str">
        <f t="shared" si="71"/>
        <v>s</v>
      </c>
      <c r="Y493" s="42"/>
    </row>
    <row r="494" spans="1:25" ht="15.75" x14ac:dyDescent="0.25">
      <c r="A494" s="4">
        <f>Données_Planning!A492</f>
        <v>0</v>
      </c>
      <c r="B494" s="6">
        <f>Données_Planning!B492</f>
        <v>0</v>
      </c>
      <c r="C494" s="28">
        <f>Données_Planning!C492</f>
        <v>0</v>
      </c>
      <c r="D494" s="50">
        <f t="shared" si="63"/>
        <v>0</v>
      </c>
      <c r="E494" s="51">
        <f t="shared" si="64"/>
        <v>0</v>
      </c>
      <c r="F494" s="52">
        <f t="shared" si="65"/>
        <v>0</v>
      </c>
      <c r="G494" s="47">
        <f>Données_Planning!L492</f>
        <v>0</v>
      </c>
      <c r="H494" s="18">
        <f>Données_Planning!H492</f>
        <v>0</v>
      </c>
      <c r="I494" s="5">
        <f>Données_Planning!D492</f>
        <v>0</v>
      </c>
      <c r="J494" s="22">
        <f>Données_Planning!F492</f>
        <v>0</v>
      </c>
      <c r="K494" s="22">
        <f>Données_Planning!E492</f>
        <v>0</v>
      </c>
      <c r="L494" s="35">
        <f>Données_Planning!G492</f>
        <v>0</v>
      </c>
      <c r="M494" s="37">
        <f>(IF(OR(A494="DWF",A494="DNF"),0,QUOTIENT(Données_Planning!J492,60)))</f>
        <v>0</v>
      </c>
      <c r="N494" s="7" t="str">
        <f t="shared" si="66"/>
        <v>min</v>
      </c>
      <c r="O494" s="36">
        <f>(IF(OR(A494="DWF",A494="DNF"),Données_Planning!J492,MOD(Données_Planning!J492,60)))</f>
        <v>0</v>
      </c>
      <c r="P494" s="28" t="str">
        <f t="shared" si="67"/>
        <v>s</v>
      </c>
      <c r="Q494" s="37">
        <f>(IF(OR(A494="DWF",A494="DNF"),0,QUOTIENT(Données_Planning!I492,60)))</f>
        <v>0</v>
      </c>
      <c r="R494" s="7" t="str">
        <f t="shared" si="68"/>
        <v>min</v>
      </c>
      <c r="S494" s="36">
        <f>(IF(OR(A494="DWF",A494="DNF"),Données_Planning!I492,MOD(Données_Planning!I492,60)))</f>
        <v>0</v>
      </c>
      <c r="T494" s="28" t="str">
        <f t="shared" si="69"/>
        <v>s</v>
      </c>
      <c r="U494" s="37">
        <f>(IF(OR(A494="DWF",A494="DNF"),0,QUOTIENT(Données_Planning!K492,60)))</f>
        <v>0</v>
      </c>
      <c r="V494" s="7" t="str">
        <f t="shared" si="70"/>
        <v>min</v>
      </c>
      <c r="W494" s="36">
        <f>(IF(OR(A494="DWF",A494="DNF"),Données_Planning!K492,MOD(Données_Planning!K492,60)))</f>
        <v>0</v>
      </c>
      <c r="X494" s="38" t="str">
        <f t="shared" si="71"/>
        <v>s</v>
      </c>
      <c r="Y494" s="42"/>
    </row>
    <row r="495" spans="1:25" ht="15.75" x14ac:dyDescent="0.25">
      <c r="A495" s="4">
        <f>Données_Planning!A493</f>
        <v>0</v>
      </c>
      <c r="B495" s="6">
        <f>Données_Planning!B493</f>
        <v>0</v>
      </c>
      <c r="C495" s="28">
        <f>Données_Planning!C493</f>
        <v>0</v>
      </c>
      <c r="D495" s="50">
        <f t="shared" si="63"/>
        <v>0</v>
      </c>
      <c r="E495" s="51">
        <f t="shared" si="64"/>
        <v>0</v>
      </c>
      <c r="F495" s="52">
        <f t="shared" si="65"/>
        <v>0</v>
      </c>
      <c r="G495" s="47">
        <f>Données_Planning!L493</f>
        <v>0</v>
      </c>
      <c r="H495" s="18">
        <f>Données_Planning!H493</f>
        <v>0</v>
      </c>
      <c r="I495" s="5">
        <f>Données_Planning!D493</f>
        <v>0</v>
      </c>
      <c r="J495" s="22">
        <f>Données_Planning!F493</f>
        <v>0</v>
      </c>
      <c r="K495" s="22">
        <f>Données_Planning!E493</f>
        <v>0</v>
      </c>
      <c r="L495" s="35">
        <f>Données_Planning!G493</f>
        <v>0</v>
      </c>
      <c r="M495" s="37">
        <f>(IF(OR(A495="DWF",A495="DNF"),0,QUOTIENT(Données_Planning!J493,60)))</f>
        <v>0</v>
      </c>
      <c r="N495" s="7" t="str">
        <f t="shared" si="66"/>
        <v>min</v>
      </c>
      <c r="O495" s="36">
        <f>(IF(OR(A495="DWF",A495="DNF"),Données_Planning!J493,MOD(Données_Planning!J493,60)))</f>
        <v>0</v>
      </c>
      <c r="P495" s="28" t="str">
        <f t="shared" si="67"/>
        <v>s</v>
      </c>
      <c r="Q495" s="37">
        <f>(IF(OR(A495="DWF",A495="DNF"),0,QUOTIENT(Données_Planning!I493,60)))</f>
        <v>0</v>
      </c>
      <c r="R495" s="7" t="str">
        <f t="shared" si="68"/>
        <v>min</v>
      </c>
      <c r="S495" s="36">
        <f>(IF(OR(A495="DWF",A495="DNF"),Données_Planning!I493,MOD(Données_Planning!I493,60)))</f>
        <v>0</v>
      </c>
      <c r="T495" s="28" t="str">
        <f t="shared" si="69"/>
        <v>s</v>
      </c>
      <c r="U495" s="37">
        <f>(IF(OR(A495="DWF",A495="DNF"),0,QUOTIENT(Données_Planning!K493,60)))</f>
        <v>0</v>
      </c>
      <c r="V495" s="7" t="str">
        <f t="shared" si="70"/>
        <v>min</v>
      </c>
      <c r="W495" s="36">
        <f>(IF(OR(A495="DWF",A495="DNF"),Données_Planning!K493,MOD(Données_Planning!K493,60)))</f>
        <v>0</v>
      </c>
      <c r="X495" s="38" t="str">
        <f t="shared" si="71"/>
        <v>s</v>
      </c>
      <c r="Y495" s="42"/>
    </row>
    <row r="496" spans="1:25" ht="15.75" x14ac:dyDescent="0.25">
      <c r="A496" s="4">
        <f>Données_Planning!A494</f>
        <v>0</v>
      </c>
      <c r="B496" s="6">
        <f>Données_Planning!B494</f>
        <v>0</v>
      </c>
      <c r="C496" s="28">
        <f>Données_Planning!C494</f>
        <v>0</v>
      </c>
      <c r="D496" s="50">
        <f t="shared" si="63"/>
        <v>0</v>
      </c>
      <c r="E496" s="51">
        <f t="shared" si="64"/>
        <v>0</v>
      </c>
      <c r="F496" s="52">
        <f t="shared" si="65"/>
        <v>0</v>
      </c>
      <c r="G496" s="47">
        <f>Données_Planning!L494</f>
        <v>0</v>
      </c>
      <c r="H496" s="18">
        <f>Données_Planning!H494</f>
        <v>0</v>
      </c>
      <c r="I496" s="5">
        <f>Données_Planning!D494</f>
        <v>0</v>
      </c>
      <c r="J496" s="22">
        <f>Données_Planning!F494</f>
        <v>0</v>
      </c>
      <c r="K496" s="22">
        <f>Données_Planning!E494</f>
        <v>0</v>
      </c>
      <c r="L496" s="35">
        <f>Données_Planning!G494</f>
        <v>0</v>
      </c>
      <c r="M496" s="37">
        <f>(IF(OR(A496="DWF",A496="DNF"),0,QUOTIENT(Données_Planning!J494,60)))</f>
        <v>0</v>
      </c>
      <c r="N496" s="7" t="str">
        <f t="shared" si="66"/>
        <v>min</v>
      </c>
      <c r="O496" s="36">
        <f>(IF(OR(A496="DWF",A496="DNF"),Données_Planning!J494,MOD(Données_Planning!J494,60)))</f>
        <v>0</v>
      </c>
      <c r="P496" s="28" t="str">
        <f t="shared" si="67"/>
        <v>s</v>
      </c>
      <c r="Q496" s="37">
        <f>(IF(OR(A496="DWF",A496="DNF"),0,QUOTIENT(Données_Planning!I494,60)))</f>
        <v>0</v>
      </c>
      <c r="R496" s="7" t="str">
        <f t="shared" si="68"/>
        <v>min</v>
      </c>
      <c r="S496" s="36">
        <f>(IF(OR(A496="DWF",A496="DNF"),Données_Planning!I494,MOD(Données_Planning!I494,60)))</f>
        <v>0</v>
      </c>
      <c r="T496" s="28" t="str">
        <f t="shared" si="69"/>
        <v>s</v>
      </c>
      <c r="U496" s="37">
        <f>(IF(OR(A496="DWF",A496="DNF"),0,QUOTIENT(Données_Planning!K494,60)))</f>
        <v>0</v>
      </c>
      <c r="V496" s="7" t="str">
        <f t="shared" si="70"/>
        <v>min</v>
      </c>
      <c r="W496" s="36">
        <f>(IF(OR(A496="DWF",A496="DNF"),Données_Planning!K494,MOD(Données_Planning!K494,60)))</f>
        <v>0</v>
      </c>
      <c r="X496" s="38" t="str">
        <f t="shared" si="71"/>
        <v>s</v>
      </c>
      <c r="Y496" s="42"/>
    </row>
    <row r="497" spans="1:25" ht="15.75" x14ac:dyDescent="0.25">
      <c r="A497" s="4">
        <f>Données_Planning!A495</f>
        <v>0</v>
      </c>
      <c r="B497" s="6">
        <f>Données_Planning!B495</f>
        <v>0</v>
      </c>
      <c r="C497" s="28">
        <f>Données_Planning!C495</f>
        <v>0</v>
      </c>
      <c r="D497" s="50">
        <f t="shared" si="63"/>
        <v>0</v>
      </c>
      <c r="E497" s="51">
        <f t="shared" si="64"/>
        <v>0</v>
      </c>
      <c r="F497" s="52">
        <f t="shared" si="65"/>
        <v>0</v>
      </c>
      <c r="G497" s="47">
        <f>Données_Planning!L495</f>
        <v>0</v>
      </c>
      <c r="H497" s="18">
        <f>Données_Planning!H495</f>
        <v>0</v>
      </c>
      <c r="I497" s="5">
        <f>Données_Planning!D495</f>
        <v>0</v>
      </c>
      <c r="J497" s="22">
        <f>Données_Planning!F495</f>
        <v>0</v>
      </c>
      <c r="K497" s="22">
        <f>Données_Planning!E495</f>
        <v>0</v>
      </c>
      <c r="L497" s="35">
        <f>Données_Planning!G495</f>
        <v>0</v>
      </c>
      <c r="M497" s="37">
        <f>(IF(OR(A497="DWF",A497="DNF"),0,QUOTIENT(Données_Planning!J495,60)))</f>
        <v>0</v>
      </c>
      <c r="N497" s="7" t="str">
        <f t="shared" si="66"/>
        <v>min</v>
      </c>
      <c r="O497" s="36">
        <f>(IF(OR(A497="DWF",A497="DNF"),Données_Planning!J495,MOD(Données_Planning!J495,60)))</f>
        <v>0</v>
      </c>
      <c r="P497" s="28" t="str">
        <f t="shared" si="67"/>
        <v>s</v>
      </c>
      <c r="Q497" s="37">
        <f>(IF(OR(A497="DWF",A497="DNF"),0,QUOTIENT(Données_Planning!I495,60)))</f>
        <v>0</v>
      </c>
      <c r="R497" s="7" t="str">
        <f t="shared" si="68"/>
        <v>min</v>
      </c>
      <c r="S497" s="36">
        <f>(IF(OR(A497="DWF",A497="DNF"),Données_Planning!I495,MOD(Données_Planning!I495,60)))</f>
        <v>0</v>
      </c>
      <c r="T497" s="28" t="str">
        <f t="shared" si="69"/>
        <v>s</v>
      </c>
      <c r="U497" s="37">
        <f>(IF(OR(A497="DWF",A497="DNF"),0,QUOTIENT(Données_Planning!K495,60)))</f>
        <v>0</v>
      </c>
      <c r="V497" s="7" t="str">
        <f t="shared" si="70"/>
        <v>min</v>
      </c>
      <c r="W497" s="36">
        <f>(IF(OR(A497="DWF",A497="DNF"),Données_Planning!K495,MOD(Données_Planning!K495,60)))</f>
        <v>0</v>
      </c>
      <c r="X497" s="38" t="str">
        <f t="shared" si="71"/>
        <v>s</v>
      </c>
      <c r="Y497" s="42"/>
    </row>
    <row r="498" spans="1:25" ht="15.75" x14ac:dyDescent="0.25">
      <c r="A498" s="4">
        <f>Données_Planning!A496</f>
        <v>0</v>
      </c>
      <c r="B498" s="6">
        <f>Données_Planning!B496</f>
        <v>0</v>
      </c>
      <c r="C498" s="28">
        <f>Données_Planning!C496</f>
        <v>0</v>
      </c>
      <c r="D498" s="50">
        <f t="shared" si="63"/>
        <v>0</v>
      </c>
      <c r="E498" s="51">
        <f t="shared" si="64"/>
        <v>0</v>
      </c>
      <c r="F498" s="52">
        <f t="shared" si="65"/>
        <v>0</v>
      </c>
      <c r="G498" s="47">
        <f>Données_Planning!L496</f>
        <v>0</v>
      </c>
      <c r="H498" s="18">
        <f>Données_Planning!H496</f>
        <v>0</v>
      </c>
      <c r="I498" s="5">
        <f>Données_Planning!D496</f>
        <v>0</v>
      </c>
      <c r="J498" s="22">
        <f>Données_Planning!F496</f>
        <v>0</v>
      </c>
      <c r="K498" s="22">
        <f>Données_Planning!E496</f>
        <v>0</v>
      </c>
      <c r="L498" s="35">
        <f>Données_Planning!G496</f>
        <v>0</v>
      </c>
      <c r="M498" s="37">
        <f>(IF(OR(A498="DWF",A498="DNF"),0,QUOTIENT(Données_Planning!J496,60)))</f>
        <v>0</v>
      </c>
      <c r="N498" s="7" t="str">
        <f t="shared" si="66"/>
        <v>min</v>
      </c>
      <c r="O498" s="36">
        <f>(IF(OR(A498="DWF",A498="DNF"),Données_Planning!J496,MOD(Données_Planning!J496,60)))</f>
        <v>0</v>
      </c>
      <c r="P498" s="28" t="str">
        <f t="shared" si="67"/>
        <v>s</v>
      </c>
      <c r="Q498" s="37">
        <f>(IF(OR(A498="DWF",A498="DNF"),0,QUOTIENT(Données_Planning!I496,60)))</f>
        <v>0</v>
      </c>
      <c r="R498" s="7" t="str">
        <f t="shared" si="68"/>
        <v>min</v>
      </c>
      <c r="S498" s="36">
        <f>(IF(OR(A498="DWF",A498="DNF"),Données_Planning!I496,MOD(Données_Planning!I496,60)))</f>
        <v>0</v>
      </c>
      <c r="T498" s="28" t="str">
        <f t="shared" si="69"/>
        <v>s</v>
      </c>
      <c r="U498" s="37">
        <f>(IF(OR(A498="DWF",A498="DNF"),0,QUOTIENT(Données_Planning!K496,60)))</f>
        <v>0</v>
      </c>
      <c r="V498" s="7" t="str">
        <f t="shared" si="70"/>
        <v>min</v>
      </c>
      <c r="W498" s="36">
        <f>(IF(OR(A498="DWF",A498="DNF"),Données_Planning!K496,MOD(Données_Planning!K496,60)))</f>
        <v>0</v>
      </c>
      <c r="X498" s="38" t="str">
        <f t="shared" si="71"/>
        <v>s</v>
      </c>
      <c r="Y498" s="42"/>
    </row>
    <row r="499" spans="1:25" ht="15.75" x14ac:dyDescent="0.25">
      <c r="A499" s="4">
        <f>Données_Planning!A497</f>
        <v>0</v>
      </c>
      <c r="B499" s="6">
        <f>Données_Planning!B497</f>
        <v>0</v>
      </c>
      <c r="C499" s="28">
        <f>Données_Planning!C497</f>
        <v>0</v>
      </c>
      <c r="D499" s="50">
        <f t="shared" si="63"/>
        <v>0</v>
      </c>
      <c r="E499" s="51">
        <f t="shared" si="64"/>
        <v>0</v>
      </c>
      <c r="F499" s="52">
        <f t="shared" si="65"/>
        <v>0</v>
      </c>
      <c r="G499" s="47">
        <f>Données_Planning!L497</f>
        <v>0</v>
      </c>
      <c r="H499" s="18">
        <f>Données_Planning!H497</f>
        <v>0</v>
      </c>
      <c r="I499" s="5">
        <f>Données_Planning!D497</f>
        <v>0</v>
      </c>
      <c r="J499" s="22">
        <f>Données_Planning!F497</f>
        <v>0</v>
      </c>
      <c r="K499" s="22">
        <f>Données_Planning!E497</f>
        <v>0</v>
      </c>
      <c r="L499" s="35">
        <f>Données_Planning!G497</f>
        <v>0</v>
      </c>
      <c r="M499" s="37">
        <f>(IF(OR(A499="DWF",A499="DNF"),0,QUOTIENT(Données_Planning!J497,60)))</f>
        <v>0</v>
      </c>
      <c r="N499" s="7" t="str">
        <f t="shared" si="66"/>
        <v>min</v>
      </c>
      <c r="O499" s="36">
        <f>(IF(OR(A499="DWF",A499="DNF"),Données_Planning!J497,MOD(Données_Planning!J497,60)))</f>
        <v>0</v>
      </c>
      <c r="P499" s="28" t="str">
        <f t="shared" si="67"/>
        <v>s</v>
      </c>
      <c r="Q499" s="37">
        <f>(IF(OR(A499="DWF",A499="DNF"),0,QUOTIENT(Données_Planning!I497,60)))</f>
        <v>0</v>
      </c>
      <c r="R499" s="7" t="str">
        <f t="shared" si="68"/>
        <v>min</v>
      </c>
      <c r="S499" s="36">
        <f>(IF(OR(A499="DWF",A499="DNF"),Données_Planning!I497,MOD(Données_Planning!I497,60)))</f>
        <v>0</v>
      </c>
      <c r="T499" s="28" t="str">
        <f t="shared" si="69"/>
        <v>s</v>
      </c>
      <c r="U499" s="37">
        <f>(IF(OR(A499="DWF",A499="DNF"),0,QUOTIENT(Données_Planning!K497,60)))</f>
        <v>0</v>
      </c>
      <c r="V499" s="7" t="str">
        <f t="shared" si="70"/>
        <v>min</v>
      </c>
      <c r="W499" s="36">
        <f>(IF(OR(A499="DWF",A499="DNF"),Données_Planning!K497,MOD(Données_Planning!K497,60)))</f>
        <v>0</v>
      </c>
      <c r="X499" s="38" t="str">
        <f t="shared" si="71"/>
        <v>s</v>
      </c>
      <c r="Y499" s="42"/>
    </row>
    <row r="500" spans="1:25" ht="15.75" x14ac:dyDescent="0.25">
      <c r="A500" s="4">
        <f>Données_Planning!A498</f>
        <v>0</v>
      </c>
      <c r="B500" s="6">
        <f>Données_Planning!B498</f>
        <v>0</v>
      </c>
      <c r="C500" s="28">
        <f>Données_Planning!C498</f>
        <v>0</v>
      </c>
      <c r="D500" s="50">
        <f t="shared" si="63"/>
        <v>0</v>
      </c>
      <c r="E500" s="51">
        <f t="shared" si="64"/>
        <v>0</v>
      </c>
      <c r="F500" s="52">
        <f t="shared" si="65"/>
        <v>0</v>
      </c>
      <c r="G500" s="47">
        <f>Données_Planning!L498</f>
        <v>0</v>
      </c>
      <c r="H500" s="18">
        <f>Données_Planning!H498</f>
        <v>0</v>
      </c>
      <c r="I500" s="5">
        <f>Données_Planning!D498</f>
        <v>0</v>
      </c>
      <c r="J500" s="22">
        <f>Données_Planning!F498</f>
        <v>0</v>
      </c>
      <c r="K500" s="22">
        <f>Données_Planning!E498</f>
        <v>0</v>
      </c>
      <c r="L500" s="35">
        <f>Données_Planning!G498</f>
        <v>0</v>
      </c>
      <c r="M500" s="37">
        <f>(IF(OR(A500="DWF",A500="DNF"),0,QUOTIENT(Données_Planning!J498,60)))</f>
        <v>0</v>
      </c>
      <c r="N500" s="7" t="str">
        <f t="shared" si="66"/>
        <v>min</v>
      </c>
      <c r="O500" s="36">
        <f>(IF(OR(A500="DWF",A500="DNF"),Données_Planning!J498,MOD(Données_Planning!J498,60)))</f>
        <v>0</v>
      </c>
      <c r="P500" s="28" t="str">
        <f t="shared" si="67"/>
        <v>s</v>
      </c>
      <c r="Q500" s="37">
        <f>(IF(OR(A500="DWF",A500="DNF"),0,QUOTIENT(Données_Planning!I498,60)))</f>
        <v>0</v>
      </c>
      <c r="R500" s="7" t="str">
        <f t="shared" si="68"/>
        <v>min</v>
      </c>
      <c r="S500" s="36">
        <f>(IF(OR(A500="DWF",A500="DNF"),Données_Planning!I498,MOD(Données_Planning!I498,60)))</f>
        <v>0</v>
      </c>
      <c r="T500" s="28" t="str">
        <f t="shared" si="69"/>
        <v>s</v>
      </c>
      <c r="U500" s="37">
        <f>(IF(OR(A500="DWF",A500="DNF"),0,QUOTIENT(Données_Planning!K498,60)))</f>
        <v>0</v>
      </c>
      <c r="V500" s="7" t="str">
        <f t="shared" si="70"/>
        <v>min</v>
      </c>
      <c r="W500" s="36">
        <f>(IF(OR(A500="DWF",A500="DNF"),Données_Planning!K498,MOD(Données_Planning!K498,60)))</f>
        <v>0</v>
      </c>
      <c r="X500" s="38" t="str">
        <f t="shared" si="71"/>
        <v>s</v>
      </c>
      <c r="Y500" s="42"/>
    </row>
    <row r="501" spans="1:25" ht="15.75" x14ac:dyDescent="0.25">
      <c r="A501" s="4">
        <f>Données_Planning!A499</f>
        <v>0</v>
      </c>
      <c r="B501" s="6">
        <f>Données_Planning!B499</f>
        <v>0</v>
      </c>
      <c r="C501" s="28">
        <f>Données_Planning!C499</f>
        <v>0</v>
      </c>
      <c r="D501" s="50">
        <f t="shared" si="63"/>
        <v>0</v>
      </c>
      <c r="E501" s="51">
        <f t="shared" si="64"/>
        <v>0</v>
      </c>
      <c r="F501" s="52">
        <f t="shared" si="65"/>
        <v>0</v>
      </c>
      <c r="G501" s="47">
        <f>Données_Planning!L499</f>
        <v>0</v>
      </c>
      <c r="H501" s="18">
        <f>Données_Planning!H499</f>
        <v>0</v>
      </c>
      <c r="I501" s="5">
        <f>Données_Planning!D499</f>
        <v>0</v>
      </c>
      <c r="J501" s="22">
        <f>Données_Planning!F499</f>
        <v>0</v>
      </c>
      <c r="K501" s="22">
        <f>Données_Planning!E499</f>
        <v>0</v>
      </c>
      <c r="L501" s="35">
        <f>Données_Planning!G499</f>
        <v>0</v>
      </c>
      <c r="M501" s="37">
        <f>(IF(OR(A501="DWF",A501="DNF"),0,QUOTIENT(Données_Planning!J499,60)))</f>
        <v>0</v>
      </c>
      <c r="N501" s="7" t="str">
        <f t="shared" si="66"/>
        <v>min</v>
      </c>
      <c r="O501" s="36">
        <f>(IF(OR(A501="DWF",A501="DNF"),Données_Planning!J499,MOD(Données_Planning!J499,60)))</f>
        <v>0</v>
      </c>
      <c r="P501" s="28" t="str">
        <f t="shared" si="67"/>
        <v>s</v>
      </c>
      <c r="Q501" s="37">
        <f>(IF(OR(A501="DWF",A501="DNF"),0,QUOTIENT(Données_Planning!I499,60)))</f>
        <v>0</v>
      </c>
      <c r="R501" s="7" t="str">
        <f t="shared" si="68"/>
        <v>min</v>
      </c>
      <c r="S501" s="36">
        <f>(IF(OR(A501="DWF",A501="DNF"),Données_Planning!I499,MOD(Données_Planning!I499,60)))</f>
        <v>0</v>
      </c>
      <c r="T501" s="28" t="str">
        <f t="shared" si="69"/>
        <v>s</v>
      </c>
      <c r="U501" s="37">
        <f>(IF(OR(A501="DWF",A501="DNF"),0,QUOTIENT(Données_Planning!K499,60)))</f>
        <v>0</v>
      </c>
      <c r="V501" s="7" t="str">
        <f t="shared" si="70"/>
        <v>min</v>
      </c>
      <c r="W501" s="36">
        <f>(IF(OR(A501="DWF",A501="DNF"),Données_Planning!K499,MOD(Données_Planning!K499,60)))</f>
        <v>0</v>
      </c>
      <c r="X501" s="38" t="str">
        <f t="shared" si="71"/>
        <v>s</v>
      </c>
      <c r="Y501" s="42"/>
    </row>
    <row r="502" spans="1:25" ht="15.75" x14ac:dyDescent="0.25">
      <c r="A502" s="4">
        <f>Données_Planning!A500</f>
        <v>0</v>
      </c>
      <c r="B502" s="6">
        <f>Données_Planning!B500</f>
        <v>0</v>
      </c>
      <c r="C502" s="28">
        <f>Données_Planning!C500</f>
        <v>0</v>
      </c>
      <c r="D502" s="50">
        <f t="shared" si="63"/>
        <v>0</v>
      </c>
      <c r="E502" s="51">
        <f t="shared" si="64"/>
        <v>0</v>
      </c>
      <c r="F502" s="52">
        <f t="shared" si="65"/>
        <v>0</v>
      </c>
      <c r="G502" s="47">
        <f>Données_Planning!L500</f>
        <v>0</v>
      </c>
      <c r="H502" s="18">
        <f>Données_Planning!H500</f>
        <v>0</v>
      </c>
      <c r="I502" s="5">
        <f>Données_Planning!D500</f>
        <v>0</v>
      </c>
      <c r="J502" s="22">
        <f>Données_Planning!F500</f>
        <v>0</v>
      </c>
      <c r="K502" s="22">
        <f>Données_Planning!E500</f>
        <v>0</v>
      </c>
      <c r="L502" s="35">
        <f>Données_Planning!G500</f>
        <v>0</v>
      </c>
      <c r="M502" s="37">
        <f>(IF(OR(A502="DWF",A502="DNF"),0,QUOTIENT(Données_Planning!J500,60)))</f>
        <v>0</v>
      </c>
      <c r="N502" s="7" t="str">
        <f t="shared" si="66"/>
        <v>min</v>
      </c>
      <c r="O502" s="36">
        <f>(IF(OR(A502="DWF",A502="DNF"),Données_Planning!J500,MOD(Données_Planning!J500,60)))</f>
        <v>0</v>
      </c>
      <c r="P502" s="28" t="str">
        <f t="shared" si="67"/>
        <v>s</v>
      </c>
      <c r="Q502" s="37">
        <f>(IF(OR(A502="DWF",A502="DNF"),0,QUOTIENT(Données_Planning!I500,60)))</f>
        <v>0</v>
      </c>
      <c r="R502" s="7" t="str">
        <f t="shared" si="68"/>
        <v>min</v>
      </c>
      <c r="S502" s="36">
        <f>(IF(OR(A502="DWF",A502="DNF"),Données_Planning!I500,MOD(Données_Planning!I500,60)))</f>
        <v>0</v>
      </c>
      <c r="T502" s="28" t="str">
        <f t="shared" si="69"/>
        <v>s</v>
      </c>
      <c r="U502" s="37">
        <f>(IF(OR(A502="DWF",A502="DNF"),0,QUOTIENT(Données_Planning!K500,60)))</f>
        <v>0</v>
      </c>
      <c r="V502" s="7" t="str">
        <f t="shared" si="70"/>
        <v>min</v>
      </c>
      <c r="W502" s="36">
        <f>(IF(OR(A502="DWF",A502="DNF"),Données_Planning!K500,MOD(Données_Planning!K500,60)))</f>
        <v>0</v>
      </c>
      <c r="X502" s="38" t="str">
        <f t="shared" si="71"/>
        <v>s</v>
      </c>
      <c r="Y502" s="42"/>
    </row>
    <row r="503" spans="1:25" ht="15.75" x14ac:dyDescent="0.25">
      <c r="A503" s="4">
        <f>Données_Planning!A501</f>
        <v>0</v>
      </c>
      <c r="B503" s="6">
        <f>Données_Planning!B501</f>
        <v>0</v>
      </c>
      <c r="C503" s="28">
        <f>Données_Planning!C501</f>
        <v>0</v>
      </c>
      <c r="D503" s="50">
        <f t="shared" si="63"/>
        <v>0</v>
      </c>
      <c r="E503" s="51">
        <f t="shared" si="64"/>
        <v>0</v>
      </c>
      <c r="F503" s="52">
        <f t="shared" si="65"/>
        <v>0</v>
      </c>
      <c r="G503" s="47">
        <f>Données_Planning!L501</f>
        <v>0</v>
      </c>
      <c r="H503" s="18">
        <f>Données_Planning!H501</f>
        <v>0</v>
      </c>
      <c r="I503" s="5">
        <f>Données_Planning!D501</f>
        <v>0</v>
      </c>
      <c r="J503" s="22">
        <f>Données_Planning!F501</f>
        <v>0</v>
      </c>
      <c r="K503" s="22">
        <f>Données_Planning!E501</f>
        <v>0</v>
      </c>
      <c r="L503" s="35">
        <f>Données_Planning!G501</f>
        <v>0</v>
      </c>
      <c r="M503" s="37">
        <f>(IF(OR(A503="DWF",A503="DNF"),0,QUOTIENT(Données_Planning!J501,60)))</f>
        <v>0</v>
      </c>
      <c r="N503" s="7" t="str">
        <f t="shared" si="66"/>
        <v>min</v>
      </c>
      <c r="O503" s="36">
        <f>(IF(OR(A503="DWF",A503="DNF"),Données_Planning!J501,MOD(Données_Planning!J501,60)))</f>
        <v>0</v>
      </c>
      <c r="P503" s="28" t="str">
        <f t="shared" si="67"/>
        <v>s</v>
      </c>
      <c r="Q503" s="37">
        <f>(IF(OR(A503="DWF",A503="DNF"),0,QUOTIENT(Données_Planning!I501,60)))</f>
        <v>0</v>
      </c>
      <c r="R503" s="7" t="str">
        <f t="shared" si="68"/>
        <v>min</v>
      </c>
      <c r="S503" s="36">
        <f>(IF(OR(A503="DWF",A503="DNF"),Données_Planning!I501,MOD(Données_Planning!I501,60)))</f>
        <v>0</v>
      </c>
      <c r="T503" s="28" t="str">
        <f t="shared" si="69"/>
        <v>s</v>
      </c>
      <c r="U503" s="37">
        <f>(IF(OR(A503="DWF",A503="DNF"),0,QUOTIENT(Données_Planning!K501,60)))</f>
        <v>0</v>
      </c>
      <c r="V503" s="7" t="str">
        <f t="shared" si="70"/>
        <v>min</v>
      </c>
      <c r="W503" s="36">
        <f>(IF(OR(A503="DWF",A503="DNF"),Données_Planning!K501,MOD(Données_Planning!K501,60)))</f>
        <v>0</v>
      </c>
      <c r="X503" s="38" t="str">
        <f t="shared" si="71"/>
        <v>s</v>
      </c>
      <c r="Y503" s="42"/>
    </row>
    <row r="504" spans="1:25" ht="15.75" x14ac:dyDescent="0.25">
      <c r="A504" s="4">
        <f>Données_Planning!A502</f>
        <v>0</v>
      </c>
      <c r="B504" s="6">
        <f>Données_Planning!B502</f>
        <v>0</v>
      </c>
      <c r="C504" s="28">
        <f>Données_Planning!C502</f>
        <v>0</v>
      </c>
      <c r="D504" s="50">
        <f t="shared" si="63"/>
        <v>0</v>
      </c>
      <c r="E504" s="51">
        <f t="shared" si="64"/>
        <v>0</v>
      </c>
      <c r="F504" s="52">
        <f t="shared" si="65"/>
        <v>0</v>
      </c>
      <c r="G504" s="47">
        <f>Données_Planning!L502</f>
        <v>0</v>
      </c>
      <c r="H504" s="18">
        <f>Données_Planning!H502</f>
        <v>0</v>
      </c>
      <c r="I504" s="5">
        <f>Données_Planning!D502</f>
        <v>0</v>
      </c>
      <c r="J504" s="22">
        <f>Données_Planning!F502</f>
        <v>0</v>
      </c>
      <c r="K504" s="22">
        <f>Données_Planning!E502</f>
        <v>0</v>
      </c>
      <c r="L504" s="35">
        <f>Données_Planning!G502</f>
        <v>0</v>
      </c>
      <c r="M504" s="37">
        <f>(IF(OR(A504="DWF",A504="DNF"),0,QUOTIENT(Données_Planning!J502,60)))</f>
        <v>0</v>
      </c>
      <c r="N504" s="7" t="str">
        <f t="shared" si="66"/>
        <v>min</v>
      </c>
      <c r="O504" s="36">
        <f>(IF(OR(A504="DWF",A504="DNF"),Données_Planning!J502,MOD(Données_Planning!J502,60)))</f>
        <v>0</v>
      </c>
      <c r="P504" s="28" t="str">
        <f t="shared" si="67"/>
        <v>s</v>
      </c>
      <c r="Q504" s="37">
        <f>(IF(OR(A504="DWF",A504="DNF"),0,QUOTIENT(Données_Planning!I502,60)))</f>
        <v>0</v>
      </c>
      <c r="R504" s="7" t="str">
        <f t="shared" si="68"/>
        <v>min</v>
      </c>
      <c r="S504" s="36">
        <f>(IF(OR(A504="DWF",A504="DNF"),Données_Planning!I502,MOD(Données_Planning!I502,60)))</f>
        <v>0</v>
      </c>
      <c r="T504" s="28" t="str">
        <f t="shared" si="69"/>
        <v>s</v>
      </c>
      <c r="U504" s="37">
        <f>(IF(OR(A504="DWF",A504="DNF"),0,QUOTIENT(Données_Planning!K502,60)))</f>
        <v>0</v>
      </c>
      <c r="V504" s="7" t="str">
        <f t="shared" si="70"/>
        <v>min</v>
      </c>
      <c r="W504" s="36">
        <f>(IF(OR(A504="DWF",A504="DNF"),Données_Planning!K502,MOD(Données_Planning!K502,60)))</f>
        <v>0</v>
      </c>
      <c r="X504" s="38" t="str">
        <f t="shared" si="71"/>
        <v>s</v>
      </c>
      <c r="Y504" s="42"/>
    </row>
    <row r="505" spans="1:25" ht="15.75" x14ac:dyDescent="0.25">
      <c r="A505" s="4">
        <f>Données_Planning!A503</f>
        <v>0</v>
      </c>
      <c r="B505" s="6">
        <f>Données_Planning!B503</f>
        <v>0</v>
      </c>
      <c r="C505" s="28">
        <f>Données_Planning!C503</f>
        <v>0</v>
      </c>
      <c r="D505" s="50">
        <f t="shared" si="63"/>
        <v>0</v>
      </c>
      <c r="E505" s="51">
        <f t="shared" si="64"/>
        <v>0</v>
      </c>
      <c r="F505" s="52">
        <f t="shared" si="65"/>
        <v>0</v>
      </c>
      <c r="G505" s="47">
        <f>Données_Planning!L503</f>
        <v>0</v>
      </c>
      <c r="H505" s="18">
        <f>Données_Planning!H503</f>
        <v>0</v>
      </c>
      <c r="I505" s="5">
        <f>Données_Planning!D503</f>
        <v>0</v>
      </c>
      <c r="J505" s="22">
        <f>Données_Planning!F503</f>
        <v>0</v>
      </c>
      <c r="K505" s="22">
        <f>Données_Planning!E503</f>
        <v>0</v>
      </c>
      <c r="L505" s="35">
        <f>Données_Planning!G503</f>
        <v>0</v>
      </c>
      <c r="M505" s="37">
        <f>(IF(OR(A505="DWF",A505="DNF"),0,QUOTIENT(Données_Planning!J503,60)))</f>
        <v>0</v>
      </c>
      <c r="N505" s="7" t="str">
        <f t="shared" si="66"/>
        <v>min</v>
      </c>
      <c r="O505" s="36">
        <f>(IF(OR(A505="DWF",A505="DNF"),Données_Planning!J503,MOD(Données_Planning!J503,60)))</f>
        <v>0</v>
      </c>
      <c r="P505" s="28" t="str">
        <f t="shared" si="67"/>
        <v>s</v>
      </c>
      <c r="Q505" s="37">
        <f>(IF(OR(A505="DWF",A505="DNF"),0,QUOTIENT(Données_Planning!I503,60)))</f>
        <v>0</v>
      </c>
      <c r="R505" s="7" t="str">
        <f t="shared" si="68"/>
        <v>min</v>
      </c>
      <c r="S505" s="36">
        <f>(IF(OR(A505="DWF",A505="DNF"),Données_Planning!I503,MOD(Données_Planning!I503,60)))</f>
        <v>0</v>
      </c>
      <c r="T505" s="28" t="str">
        <f t="shared" si="69"/>
        <v>s</v>
      </c>
      <c r="U505" s="37">
        <f>(IF(OR(A505="DWF",A505="DNF"),0,QUOTIENT(Données_Planning!K503,60)))</f>
        <v>0</v>
      </c>
      <c r="V505" s="7" t="str">
        <f t="shared" si="70"/>
        <v>min</v>
      </c>
      <c r="W505" s="36">
        <f>(IF(OR(A505="DWF",A505="DNF"),Données_Planning!K503,MOD(Données_Planning!K503,60)))</f>
        <v>0</v>
      </c>
      <c r="X505" s="38" t="str">
        <f t="shared" si="71"/>
        <v>s</v>
      </c>
      <c r="Y505" s="42"/>
    </row>
    <row r="506" spans="1:25" ht="15.75" x14ac:dyDescent="0.25">
      <c r="A506" s="4">
        <f>Données_Planning!A504</f>
        <v>0</v>
      </c>
      <c r="B506" s="6">
        <f>Données_Planning!B504</f>
        <v>0</v>
      </c>
      <c r="C506" s="28">
        <f>Données_Planning!C504</f>
        <v>0</v>
      </c>
      <c r="D506" s="50">
        <f t="shared" si="63"/>
        <v>0</v>
      </c>
      <c r="E506" s="51">
        <f t="shared" si="64"/>
        <v>0</v>
      </c>
      <c r="F506" s="52">
        <f t="shared" si="65"/>
        <v>0</v>
      </c>
      <c r="G506" s="47">
        <f>Données_Planning!L504</f>
        <v>0</v>
      </c>
      <c r="H506" s="18">
        <f>Données_Planning!H504</f>
        <v>0</v>
      </c>
      <c r="I506" s="5">
        <f>Données_Planning!D504</f>
        <v>0</v>
      </c>
      <c r="J506" s="22">
        <f>Données_Planning!F504</f>
        <v>0</v>
      </c>
      <c r="K506" s="22">
        <f>Données_Planning!E504</f>
        <v>0</v>
      </c>
      <c r="L506" s="35">
        <f>Données_Planning!G504</f>
        <v>0</v>
      </c>
      <c r="M506" s="37">
        <f>(IF(OR(A506="DWF",A506="DNF"),0,QUOTIENT(Données_Planning!J504,60)))</f>
        <v>0</v>
      </c>
      <c r="N506" s="7" t="str">
        <f t="shared" si="66"/>
        <v>min</v>
      </c>
      <c r="O506" s="36">
        <f>(IF(OR(A506="DWF",A506="DNF"),Données_Planning!J504,MOD(Données_Planning!J504,60)))</f>
        <v>0</v>
      </c>
      <c r="P506" s="28" t="str">
        <f t="shared" si="67"/>
        <v>s</v>
      </c>
      <c r="Q506" s="37">
        <f>(IF(OR(A506="DWF",A506="DNF"),0,QUOTIENT(Données_Planning!I504,60)))</f>
        <v>0</v>
      </c>
      <c r="R506" s="7" t="str">
        <f t="shared" si="68"/>
        <v>min</v>
      </c>
      <c r="S506" s="36">
        <f>(IF(OR(A506="DWF",A506="DNF"),Données_Planning!I504,MOD(Données_Planning!I504,60)))</f>
        <v>0</v>
      </c>
      <c r="T506" s="28" t="str">
        <f t="shared" si="69"/>
        <v>s</v>
      </c>
      <c r="U506" s="37">
        <f>(IF(OR(A506="DWF",A506="DNF"),0,QUOTIENT(Données_Planning!K504,60)))</f>
        <v>0</v>
      </c>
      <c r="V506" s="7" t="str">
        <f t="shared" si="70"/>
        <v>min</v>
      </c>
      <c r="W506" s="36">
        <f>(IF(OR(A506="DWF",A506="DNF"),Données_Planning!K504,MOD(Données_Planning!K504,60)))</f>
        <v>0</v>
      </c>
      <c r="X506" s="38" t="str">
        <f t="shared" si="71"/>
        <v>s</v>
      </c>
      <c r="Y506" s="42"/>
    </row>
    <row r="507" spans="1:25" ht="15.75" x14ac:dyDescent="0.25">
      <c r="A507" s="4">
        <f>Données_Planning!A505</f>
        <v>0</v>
      </c>
      <c r="B507" s="6">
        <f>Données_Planning!B505</f>
        <v>0</v>
      </c>
      <c r="C507" s="28">
        <f>Données_Planning!C505</f>
        <v>0</v>
      </c>
      <c r="D507" s="50">
        <f t="shared" si="63"/>
        <v>0</v>
      </c>
      <c r="E507" s="51">
        <f t="shared" si="64"/>
        <v>0</v>
      </c>
      <c r="F507" s="52">
        <f t="shared" si="65"/>
        <v>0</v>
      </c>
      <c r="G507" s="47">
        <f>Données_Planning!L505</f>
        <v>0</v>
      </c>
      <c r="H507" s="18">
        <f>Données_Planning!H505</f>
        <v>0</v>
      </c>
      <c r="I507" s="5">
        <f>Données_Planning!D505</f>
        <v>0</v>
      </c>
      <c r="J507" s="22">
        <f>Données_Planning!F505</f>
        <v>0</v>
      </c>
      <c r="K507" s="22">
        <f>Données_Planning!E505</f>
        <v>0</v>
      </c>
      <c r="L507" s="35">
        <f>Données_Planning!G505</f>
        <v>0</v>
      </c>
      <c r="M507" s="37">
        <f>(IF(OR(A507="DWF",A507="DNF"),0,QUOTIENT(Données_Planning!J505,60)))</f>
        <v>0</v>
      </c>
      <c r="N507" s="7" t="str">
        <f t="shared" si="66"/>
        <v>min</v>
      </c>
      <c r="O507" s="36">
        <f>(IF(OR(A507="DWF",A507="DNF"),Données_Planning!J505,MOD(Données_Planning!J505,60)))</f>
        <v>0</v>
      </c>
      <c r="P507" s="28" t="str">
        <f t="shared" si="67"/>
        <v>s</v>
      </c>
      <c r="Q507" s="37">
        <f>(IF(OR(A507="DWF",A507="DNF"),0,QUOTIENT(Données_Planning!I505,60)))</f>
        <v>0</v>
      </c>
      <c r="R507" s="7" t="str">
        <f t="shared" si="68"/>
        <v>min</v>
      </c>
      <c r="S507" s="36">
        <f>(IF(OR(A507="DWF",A507="DNF"),Données_Planning!I505,MOD(Données_Planning!I505,60)))</f>
        <v>0</v>
      </c>
      <c r="T507" s="28" t="str">
        <f t="shared" si="69"/>
        <v>s</v>
      </c>
      <c r="U507" s="37">
        <f>(IF(OR(A507="DWF",A507="DNF"),0,QUOTIENT(Données_Planning!K505,60)))</f>
        <v>0</v>
      </c>
      <c r="V507" s="7" t="str">
        <f t="shared" si="70"/>
        <v>min</v>
      </c>
      <c r="W507" s="36">
        <f>(IF(OR(A507="DWF",A507="DNF"),Données_Planning!K505,MOD(Données_Planning!K505,60)))</f>
        <v>0</v>
      </c>
      <c r="X507" s="38" t="str">
        <f t="shared" si="71"/>
        <v>s</v>
      </c>
      <c r="Y507" s="42"/>
    </row>
    <row r="508" spans="1:25" ht="15.75" x14ac:dyDescent="0.25">
      <c r="A508" s="4">
        <f>Données_Planning!A506</f>
        <v>0</v>
      </c>
      <c r="B508" s="6">
        <f>Données_Planning!B506</f>
        <v>0</v>
      </c>
      <c r="C508" s="28">
        <f>Données_Planning!C506</f>
        <v>0</v>
      </c>
      <c r="D508" s="50">
        <f t="shared" si="63"/>
        <v>0</v>
      </c>
      <c r="E508" s="51">
        <f t="shared" si="64"/>
        <v>0</v>
      </c>
      <c r="F508" s="52">
        <f t="shared" si="65"/>
        <v>0</v>
      </c>
      <c r="G508" s="47">
        <f>Données_Planning!L506</f>
        <v>0</v>
      </c>
      <c r="H508" s="18">
        <f>Données_Planning!H506</f>
        <v>0</v>
      </c>
      <c r="I508" s="5">
        <f>Données_Planning!D506</f>
        <v>0</v>
      </c>
      <c r="J508" s="22">
        <f>Données_Planning!F506</f>
        <v>0</v>
      </c>
      <c r="K508" s="22">
        <f>Données_Planning!E506</f>
        <v>0</v>
      </c>
      <c r="L508" s="35">
        <f>Données_Planning!G506</f>
        <v>0</v>
      </c>
      <c r="M508" s="37">
        <f>(IF(OR(A508="DWF",A508="DNF"),0,QUOTIENT(Données_Planning!J506,60)))</f>
        <v>0</v>
      </c>
      <c r="N508" s="7" t="str">
        <f t="shared" si="66"/>
        <v>min</v>
      </c>
      <c r="O508" s="36">
        <f>(IF(OR(A508="DWF",A508="DNF"),Données_Planning!J506,MOD(Données_Planning!J506,60)))</f>
        <v>0</v>
      </c>
      <c r="P508" s="28" t="str">
        <f t="shared" si="67"/>
        <v>s</v>
      </c>
      <c r="Q508" s="37">
        <f>(IF(OR(A508="DWF",A508="DNF"),0,QUOTIENT(Données_Planning!I506,60)))</f>
        <v>0</v>
      </c>
      <c r="R508" s="7" t="str">
        <f t="shared" si="68"/>
        <v>min</v>
      </c>
      <c r="S508" s="36">
        <f>(IF(OR(A508="DWF",A508="DNF"),Données_Planning!I506,MOD(Données_Planning!I506,60)))</f>
        <v>0</v>
      </c>
      <c r="T508" s="28" t="str">
        <f t="shared" si="69"/>
        <v>s</v>
      </c>
      <c r="U508" s="37">
        <f>(IF(OR(A508="DWF",A508="DNF"),0,QUOTIENT(Données_Planning!K506,60)))</f>
        <v>0</v>
      </c>
      <c r="V508" s="7" t="str">
        <f t="shared" si="70"/>
        <v>min</v>
      </c>
      <c r="W508" s="36">
        <f>(IF(OR(A508="DWF",A508="DNF"),Données_Planning!K506,MOD(Données_Planning!K506,60)))</f>
        <v>0</v>
      </c>
      <c r="X508" s="38" t="str">
        <f t="shared" si="71"/>
        <v>s</v>
      </c>
      <c r="Y508" s="42"/>
    </row>
    <row r="509" spans="1:25" ht="15.75" x14ac:dyDescent="0.25">
      <c r="A509" s="4">
        <f>Données_Planning!A507</f>
        <v>0</v>
      </c>
      <c r="B509" s="6">
        <f>Données_Planning!B507</f>
        <v>0</v>
      </c>
      <c r="C509" s="28">
        <f>Données_Planning!C507</f>
        <v>0</v>
      </c>
      <c r="D509" s="50">
        <f t="shared" si="63"/>
        <v>0</v>
      </c>
      <c r="E509" s="51">
        <f t="shared" si="64"/>
        <v>0</v>
      </c>
      <c r="F509" s="52">
        <f t="shared" si="65"/>
        <v>0</v>
      </c>
      <c r="G509" s="47">
        <f>Données_Planning!L507</f>
        <v>0</v>
      </c>
      <c r="H509" s="18">
        <f>Données_Planning!H507</f>
        <v>0</v>
      </c>
      <c r="I509" s="5">
        <f>Données_Planning!D507</f>
        <v>0</v>
      </c>
      <c r="J509" s="22">
        <f>Données_Planning!F507</f>
        <v>0</v>
      </c>
      <c r="K509" s="22">
        <f>Données_Planning!E507</f>
        <v>0</v>
      </c>
      <c r="L509" s="35">
        <f>Données_Planning!G507</f>
        <v>0</v>
      </c>
      <c r="M509" s="37">
        <f>(IF(OR(A509="DWF",A509="DNF"),0,QUOTIENT(Données_Planning!J507,60)))</f>
        <v>0</v>
      </c>
      <c r="N509" s="7" t="str">
        <f t="shared" si="66"/>
        <v>min</v>
      </c>
      <c r="O509" s="36">
        <f>(IF(OR(A509="DWF",A509="DNF"),Données_Planning!J507,MOD(Données_Planning!J507,60)))</f>
        <v>0</v>
      </c>
      <c r="P509" s="28" t="str">
        <f t="shared" si="67"/>
        <v>s</v>
      </c>
      <c r="Q509" s="37">
        <f>(IF(OR(A509="DWF",A509="DNF"),0,QUOTIENT(Données_Planning!I507,60)))</f>
        <v>0</v>
      </c>
      <c r="R509" s="7" t="str">
        <f t="shared" si="68"/>
        <v>min</v>
      </c>
      <c r="S509" s="36">
        <f>(IF(OR(A509="DWF",A509="DNF"),Données_Planning!I507,MOD(Données_Planning!I507,60)))</f>
        <v>0</v>
      </c>
      <c r="T509" s="28" t="str">
        <f t="shared" si="69"/>
        <v>s</v>
      </c>
      <c r="U509" s="37">
        <f>(IF(OR(A509="DWF",A509="DNF"),0,QUOTIENT(Données_Planning!K507,60)))</f>
        <v>0</v>
      </c>
      <c r="V509" s="7" t="str">
        <f t="shared" si="70"/>
        <v>min</v>
      </c>
      <c r="W509" s="36">
        <f>(IF(OR(A509="DWF",A509="DNF"),Données_Planning!K507,MOD(Données_Planning!K507,60)))</f>
        <v>0</v>
      </c>
      <c r="X509" s="38" t="str">
        <f t="shared" si="71"/>
        <v>s</v>
      </c>
      <c r="Y509" s="42"/>
    </row>
    <row r="510" spans="1:25" ht="15.75" x14ac:dyDescent="0.25">
      <c r="A510" s="4">
        <f>Données_Planning!A508</f>
        <v>0</v>
      </c>
      <c r="B510" s="6">
        <f>Données_Planning!B508</f>
        <v>0</v>
      </c>
      <c r="C510" s="28">
        <f>Données_Planning!C508</f>
        <v>0</v>
      </c>
      <c r="D510" s="50">
        <f t="shared" si="63"/>
        <v>0</v>
      </c>
      <c r="E510" s="51">
        <f t="shared" si="64"/>
        <v>0</v>
      </c>
      <c r="F510" s="52">
        <f t="shared" si="65"/>
        <v>0</v>
      </c>
      <c r="G510" s="47">
        <f>Données_Planning!L508</f>
        <v>0</v>
      </c>
      <c r="H510" s="18">
        <f>Données_Planning!H508</f>
        <v>0</v>
      </c>
      <c r="I510" s="5">
        <f>Données_Planning!D508</f>
        <v>0</v>
      </c>
      <c r="J510" s="22">
        <f>Données_Planning!F508</f>
        <v>0</v>
      </c>
      <c r="K510" s="22">
        <f>Données_Planning!E508</f>
        <v>0</v>
      </c>
      <c r="L510" s="35">
        <f>Données_Planning!G508</f>
        <v>0</v>
      </c>
      <c r="M510" s="37">
        <f>(IF(OR(A510="DWF",A510="DNF"),0,QUOTIENT(Données_Planning!J508,60)))</f>
        <v>0</v>
      </c>
      <c r="N510" s="7" t="str">
        <f t="shared" si="66"/>
        <v>min</v>
      </c>
      <c r="O510" s="36">
        <f>(IF(OR(A510="DWF",A510="DNF"),Données_Planning!J508,MOD(Données_Planning!J508,60)))</f>
        <v>0</v>
      </c>
      <c r="P510" s="28" t="str">
        <f t="shared" si="67"/>
        <v>s</v>
      </c>
      <c r="Q510" s="37">
        <f>(IF(OR(A510="DWF",A510="DNF"),0,QUOTIENT(Données_Planning!I508,60)))</f>
        <v>0</v>
      </c>
      <c r="R510" s="7" t="str">
        <f t="shared" si="68"/>
        <v>min</v>
      </c>
      <c r="S510" s="36">
        <f>(IF(OR(A510="DWF",A510="DNF"),Données_Planning!I508,MOD(Données_Planning!I508,60)))</f>
        <v>0</v>
      </c>
      <c r="T510" s="28" t="str">
        <f t="shared" si="69"/>
        <v>s</v>
      </c>
      <c r="U510" s="37">
        <f>(IF(OR(A510="DWF",A510="DNF"),0,QUOTIENT(Données_Planning!K508,60)))</f>
        <v>0</v>
      </c>
      <c r="V510" s="7" t="str">
        <f t="shared" si="70"/>
        <v>min</v>
      </c>
      <c r="W510" s="36">
        <f>(IF(OR(A510="DWF",A510="DNF"),Données_Planning!K508,MOD(Données_Planning!K508,60)))</f>
        <v>0</v>
      </c>
      <c r="X510" s="38" t="str">
        <f t="shared" si="71"/>
        <v>s</v>
      </c>
      <c r="Y510" s="42"/>
    </row>
    <row r="511" spans="1:25" ht="15.75" x14ac:dyDescent="0.25">
      <c r="A511" s="4">
        <f>Données_Planning!A509</f>
        <v>0</v>
      </c>
      <c r="B511" s="6">
        <f>Données_Planning!B509</f>
        <v>0</v>
      </c>
      <c r="C511" s="28">
        <f>Données_Planning!C509</f>
        <v>0</v>
      </c>
      <c r="D511" s="50">
        <f t="shared" si="63"/>
        <v>0</v>
      </c>
      <c r="E511" s="51">
        <f t="shared" si="64"/>
        <v>0</v>
      </c>
      <c r="F511" s="52">
        <f t="shared" si="65"/>
        <v>0</v>
      </c>
      <c r="G511" s="47">
        <f>Données_Planning!L509</f>
        <v>0</v>
      </c>
      <c r="H511" s="18">
        <f>Données_Planning!H509</f>
        <v>0</v>
      </c>
      <c r="I511" s="5">
        <f>Données_Planning!D509</f>
        <v>0</v>
      </c>
      <c r="J511" s="22">
        <f>Données_Planning!F509</f>
        <v>0</v>
      </c>
      <c r="K511" s="22">
        <f>Données_Planning!E509</f>
        <v>0</v>
      </c>
      <c r="L511" s="35">
        <f>Données_Planning!G509</f>
        <v>0</v>
      </c>
      <c r="M511" s="37">
        <f>(IF(OR(A511="DWF",A511="DNF"),0,QUOTIENT(Données_Planning!J509,60)))</f>
        <v>0</v>
      </c>
      <c r="N511" s="7" t="str">
        <f t="shared" si="66"/>
        <v>min</v>
      </c>
      <c r="O511" s="36">
        <f>(IF(OR(A511="DWF",A511="DNF"),Données_Planning!J509,MOD(Données_Planning!J509,60)))</f>
        <v>0</v>
      </c>
      <c r="P511" s="28" t="str">
        <f t="shared" si="67"/>
        <v>s</v>
      </c>
      <c r="Q511" s="37">
        <f>(IF(OR(A511="DWF",A511="DNF"),0,QUOTIENT(Données_Planning!I509,60)))</f>
        <v>0</v>
      </c>
      <c r="R511" s="7" t="str">
        <f t="shared" si="68"/>
        <v>min</v>
      </c>
      <c r="S511" s="36">
        <f>(IF(OR(A511="DWF",A511="DNF"),Données_Planning!I509,MOD(Données_Planning!I509,60)))</f>
        <v>0</v>
      </c>
      <c r="T511" s="28" t="str">
        <f t="shared" si="69"/>
        <v>s</v>
      </c>
      <c r="U511" s="37">
        <f>(IF(OR(A511="DWF",A511="DNF"),0,QUOTIENT(Données_Planning!K509,60)))</f>
        <v>0</v>
      </c>
      <c r="V511" s="7" t="str">
        <f t="shared" si="70"/>
        <v>min</v>
      </c>
      <c r="W511" s="36">
        <f>(IF(OR(A511="DWF",A511="DNF"),Données_Planning!K509,MOD(Données_Planning!K509,60)))</f>
        <v>0</v>
      </c>
      <c r="X511" s="38" t="str">
        <f t="shared" si="71"/>
        <v>s</v>
      </c>
      <c r="Y511" s="42"/>
    </row>
    <row r="512" spans="1:25" ht="15.75" x14ac:dyDescent="0.25">
      <c r="A512" s="4">
        <f>Données_Planning!A510</f>
        <v>0</v>
      </c>
      <c r="B512" s="6">
        <f>Données_Planning!B510</f>
        <v>0</v>
      </c>
      <c r="C512" s="28">
        <f>Données_Planning!C510</f>
        <v>0</v>
      </c>
      <c r="D512" s="50">
        <f t="shared" si="63"/>
        <v>0</v>
      </c>
      <c r="E512" s="51">
        <f t="shared" si="64"/>
        <v>0</v>
      </c>
      <c r="F512" s="52">
        <f t="shared" si="65"/>
        <v>0</v>
      </c>
      <c r="G512" s="47">
        <f>Données_Planning!L510</f>
        <v>0</v>
      </c>
      <c r="H512" s="18">
        <f>Données_Planning!H510</f>
        <v>0</v>
      </c>
      <c r="I512" s="5">
        <f>Données_Planning!D510</f>
        <v>0</v>
      </c>
      <c r="J512" s="22">
        <f>Données_Planning!F510</f>
        <v>0</v>
      </c>
      <c r="K512" s="22">
        <f>Données_Planning!E510</f>
        <v>0</v>
      </c>
      <c r="L512" s="35">
        <f>Données_Planning!G510</f>
        <v>0</v>
      </c>
      <c r="M512" s="37">
        <f>(IF(OR(A512="DWF",A512="DNF"),0,QUOTIENT(Données_Planning!J510,60)))</f>
        <v>0</v>
      </c>
      <c r="N512" s="7" t="str">
        <f t="shared" si="66"/>
        <v>min</v>
      </c>
      <c r="O512" s="36">
        <f>(IF(OR(A512="DWF",A512="DNF"),Données_Planning!J510,MOD(Données_Planning!J510,60)))</f>
        <v>0</v>
      </c>
      <c r="P512" s="28" t="str">
        <f t="shared" si="67"/>
        <v>s</v>
      </c>
      <c r="Q512" s="37">
        <f>(IF(OR(A512="DWF",A512="DNF"),0,QUOTIENT(Données_Planning!I510,60)))</f>
        <v>0</v>
      </c>
      <c r="R512" s="7" t="str">
        <f t="shared" si="68"/>
        <v>min</v>
      </c>
      <c r="S512" s="36">
        <f>(IF(OR(A512="DWF",A512="DNF"),Données_Planning!I510,MOD(Données_Planning!I510,60)))</f>
        <v>0</v>
      </c>
      <c r="T512" s="28" t="str">
        <f t="shared" si="69"/>
        <v>s</v>
      </c>
      <c r="U512" s="37">
        <f>(IF(OR(A512="DWF",A512="DNF"),0,QUOTIENT(Données_Planning!K510,60)))</f>
        <v>0</v>
      </c>
      <c r="V512" s="7" t="str">
        <f t="shared" si="70"/>
        <v>min</v>
      </c>
      <c r="W512" s="36">
        <f>(IF(OR(A512="DWF",A512="DNF"),Données_Planning!K510,MOD(Données_Planning!K510,60)))</f>
        <v>0</v>
      </c>
      <c r="X512" s="38" t="str">
        <f t="shared" si="71"/>
        <v>s</v>
      </c>
      <c r="Y512" s="42"/>
    </row>
    <row r="513" spans="1:25" ht="15.75" x14ac:dyDescent="0.25">
      <c r="A513" s="4">
        <f>Données_Planning!A511</f>
        <v>0</v>
      </c>
      <c r="B513" s="6">
        <f>Données_Planning!B511</f>
        <v>0</v>
      </c>
      <c r="C513" s="28">
        <f>Données_Planning!C511</f>
        <v>0</v>
      </c>
      <c r="D513" s="50">
        <f t="shared" si="63"/>
        <v>0</v>
      </c>
      <c r="E513" s="51">
        <f t="shared" si="64"/>
        <v>0</v>
      </c>
      <c r="F513" s="52">
        <f t="shared" si="65"/>
        <v>0</v>
      </c>
      <c r="G513" s="47">
        <f>Données_Planning!L511</f>
        <v>0</v>
      </c>
      <c r="H513" s="18">
        <f>Données_Planning!H511</f>
        <v>0</v>
      </c>
      <c r="I513" s="5">
        <f>Données_Planning!D511</f>
        <v>0</v>
      </c>
      <c r="J513" s="22">
        <f>Données_Planning!F511</f>
        <v>0</v>
      </c>
      <c r="K513" s="22">
        <f>Données_Planning!E511</f>
        <v>0</v>
      </c>
      <c r="L513" s="35">
        <f>Données_Planning!G511</f>
        <v>0</v>
      </c>
      <c r="M513" s="37">
        <f>(IF(OR(A513="DWF",A513="DNF"),0,QUOTIENT(Données_Planning!J511,60)))</f>
        <v>0</v>
      </c>
      <c r="N513" s="7" t="str">
        <f t="shared" si="66"/>
        <v>min</v>
      </c>
      <c r="O513" s="36">
        <f>(IF(OR(A513="DWF",A513="DNF"),Données_Planning!J511,MOD(Données_Planning!J511,60)))</f>
        <v>0</v>
      </c>
      <c r="P513" s="28" t="str">
        <f t="shared" si="67"/>
        <v>s</v>
      </c>
      <c r="Q513" s="37">
        <f>(IF(OR(A513="DWF",A513="DNF"),0,QUOTIENT(Données_Planning!I511,60)))</f>
        <v>0</v>
      </c>
      <c r="R513" s="7" t="str">
        <f t="shared" si="68"/>
        <v>min</v>
      </c>
      <c r="S513" s="36">
        <f>(IF(OR(A513="DWF",A513="DNF"),Données_Planning!I511,MOD(Données_Planning!I511,60)))</f>
        <v>0</v>
      </c>
      <c r="T513" s="28" t="str">
        <f t="shared" si="69"/>
        <v>s</v>
      </c>
      <c r="U513" s="37">
        <f>(IF(OR(A513="DWF",A513="DNF"),0,QUOTIENT(Données_Planning!K511,60)))</f>
        <v>0</v>
      </c>
      <c r="V513" s="7" t="str">
        <f t="shared" si="70"/>
        <v>min</v>
      </c>
      <c r="W513" s="36">
        <f>(IF(OR(A513="DWF",A513="DNF"),Données_Planning!K511,MOD(Données_Planning!K511,60)))</f>
        <v>0</v>
      </c>
      <c r="X513" s="38" t="str">
        <f t="shared" si="71"/>
        <v>s</v>
      </c>
      <c r="Y513" s="42"/>
    </row>
    <row r="514" spans="1:25" ht="15.75" x14ac:dyDescent="0.25">
      <c r="A514" s="4">
        <f>Données_Planning!A512</f>
        <v>0</v>
      </c>
      <c r="B514" s="6">
        <f>Données_Planning!B512</f>
        <v>0</v>
      </c>
      <c r="C514" s="28">
        <f>Données_Planning!C512</f>
        <v>0</v>
      </c>
      <c r="D514" s="50">
        <f t="shared" si="63"/>
        <v>0</v>
      </c>
      <c r="E514" s="51">
        <f t="shared" si="64"/>
        <v>0</v>
      </c>
      <c r="F514" s="52">
        <f t="shared" si="65"/>
        <v>0</v>
      </c>
      <c r="G514" s="47">
        <f>Données_Planning!L512</f>
        <v>0</v>
      </c>
      <c r="H514" s="18">
        <f>Données_Planning!H512</f>
        <v>0</v>
      </c>
      <c r="I514" s="5">
        <f>Données_Planning!D512</f>
        <v>0</v>
      </c>
      <c r="J514" s="22">
        <f>Données_Planning!F512</f>
        <v>0</v>
      </c>
      <c r="K514" s="22">
        <f>Données_Planning!E512</f>
        <v>0</v>
      </c>
      <c r="L514" s="35">
        <f>Données_Planning!G512</f>
        <v>0</v>
      </c>
      <c r="M514" s="37">
        <f>(IF(OR(A514="DWF",A514="DNF"),0,QUOTIENT(Données_Planning!J512,60)))</f>
        <v>0</v>
      </c>
      <c r="N514" s="7" t="str">
        <f t="shared" si="66"/>
        <v>min</v>
      </c>
      <c r="O514" s="36">
        <f>(IF(OR(A514="DWF",A514="DNF"),Données_Planning!J512,MOD(Données_Planning!J512,60)))</f>
        <v>0</v>
      </c>
      <c r="P514" s="28" t="str">
        <f t="shared" si="67"/>
        <v>s</v>
      </c>
      <c r="Q514" s="37">
        <f>(IF(OR(A514="DWF",A514="DNF"),0,QUOTIENT(Données_Planning!I512,60)))</f>
        <v>0</v>
      </c>
      <c r="R514" s="7" t="str">
        <f t="shared" si="68"/>
        <v>min</v>
      </c>
      <c r="S514" s="36">
        <f>(IF(OR(A514="DWF",A514="DNF"),Données_Planning!I512,MOD(Données_Planning!I512,60)))</f>
        <v>0</v>
      </c>
      <c r="T514" s="28" t="str">
        <f t="shared" si="69"/>
        <v>s</v>
      </c>
      <c r="U514" s="37">
        <f>(IF(OR(A514="DWF",A514="DNF"),0,QUOTIENT(Données_Planning!K512,60)))</f>
        <v>0</v>
      </c>
      <c r="V514" s="7" t="str">
        <f t="shared" si="70"/>
        <v>min</v>
      </c>
      <c r="W514" s="36">
        <f>(IF(OR(A514="DWF",A514="DNF"),Données_Planning!K512,MOD(Données_Planning!K512,60)))</f>
        <v>0</v>
      </c>
      <c r="X514" s="38" t="str">
        <f t="shared" si="71"/>
        <v>s</v>
      </c>
      <c r="Y514" s="42"/>
    </row>
    <row r="515" spans="1:25" ht="15.75" x14ac:dyDescent="0.25">
      <c r="A515" s="4">
        <f>Données_Planning!A513</f>
        <v>0</v>
      </c>
      <c r="B515" s="6">
        <f>Données_Planning!B513</f>
        <v>0</v>
      </c>
      <c r="C515" s="28">
        <f>Données_Planning!C513</f>
        <v>0</v>
      </c>
      <c r="D515" s="50">
        <f t="shared" si="63"/>
        <v>0</v>
      </c>
      <c r="E515" s="51">
        <f t="shared" si="64"/>
        <v>0</v>
      </c>
      <c r="F515" s="52">
        <f t="shared" si="65"/>
        <v>0</v>
      </c>
      <c r="G515" s="47">
        <f>Données_Planning!L513</f>
        <v>0</v>
      </c>
      <c r="H515" s="18">
        <f>Données_Planning!H513</f>
        <v>0</v>
      </c>
      <c r="I515" s="5">
        <f>Données_Planning!D513</f>
        <v>0</v>
      </c>
      <c r="J515" s="22">
        <f>Données_Planning!F513</f>
        <v>0</v>
      </c>
      <c r="K515" s="22">
        <f>Données_Planning!E513</f>
        <v>0</v>
      </c>
      <c r="L515" s="35">
        <f>Données_Planning!G513</f>
        <v>0</v>
      </c>
      <c r="M515" s="37">
        <f>(IF(OR(A515="DWF",A515="DNF"),0,QUOTIENT(Données_Planning!J513,60)))</f>
        <v>0</v>
      </c>
      <c r="N515" s="7" t="str">
        <f t="shared" si="66"/>
        <v>min</v>
      </c>
      <c r="O515" s="36">
        <f>(IF(OR(A515="DWF",A515="DNF"),Données_Planning!J513,MOD(Données_Planning!J513,60)))</f>
        <v>0</v>
      </c>
      <c r="P515" s="28" t="str">
        <f t="shared" si="67"/>
        <v>s</v>
      </c>
      <c r="Q515" s="37">
        <f>(IF(OR(A515="DWF",A515="DNF"),0,QUOTIENT(Données_Planning!I513,60)))</f>
        <v>0</v>
      </c>
      <c r="R515" s="7" t="str">
        <f t="shared" si="68"/>
        <v>min</v>
      </c>
      <c r="S515" s="36">
        <f>(IF(OR(A515="DWF",A515="DNF"),Données_Planning!I513,MOD(Données_Planning!I513,60)))</f>
        <v>0</v>
      </c>
      <c r="T515" s="28" t="str">
        <f t="shared" si="69"/>
        <v>s</v>
      </c>
      <c r="U515" s="37">
        <f>(IF(OR(A515="DWF",A515="DNF"),0,QUOTIENT(Données_Planning!K513,60)))</f>
        <v>0</v>
      </c>
      <c r="V515" s="7" t="str">
        <f t="shared" si="70"/>
        <v>min</v>
      </c>
      <c r="W515" s="36">
        <f>(IF(OR(A515="DWF",A515="DNF"),Données_Planning!K513,MOD(Données_Planning!K513,60)))</f>
        <v>0</v>
      </c>
      <c r="X515" s="38" t="str">
        <f t="shared" si="71"/>
        <v>s</v>
      </c>
      <c r="Y515" s="42"/>
    </row>
    <row r="516" spans="1:25" ht="15.75" x14ac:dyDescent="0.25">
      <c r="A516" s="4">
        <f>Données_Planning!A514</f>
        <v>0</v>
      </c>
      <c r="B516" s="6">
        <f>Données_Planning!B514</f>
        <v>0</v>
      </c>
      <c r="C516" s="28">
        <f>Données_Planning!C514</f>
        <v>0</v>
      </c>
      <c r="D516" s="50">
        <f t="shared" si="63"/>
        <v>0</v>
      </c>
      <c r="E516" s="51">
        <f t="shared" si="64"/>
        <v>0</v>
      </c>
      <c r="F516" s="52">
        <f t="shared" si="65"/>
        <v>0</v>
      </c>
      <c r="G516" s="47">
        <f>Données_Planning!L514</f>
        <v>0</v>
      </c>
      <c r="H516" s="18">
        <f>Données_Planning!H514</f>
        <v>0</v>
      </c>
      <c r="I516" s="5">
        <f>Données_Planning!D514</f>
        <v>0</v>
      </c>
      <c r="J516" s="22">
        <f>Données_Planning!F514</f>
        <v>0</v>
      </c>
      <c r="K516" s="22">
        <f>Données_Planning!E514</f>
        <v>0</v>
      </c>
      <c r="L516" s="35">
        <f>Données_Planning!G514</f>
        <v>0</v>
      </c>
      <c r="M516" s="37">
        <f>(IF(OR(A516="DWF",A516="DNF"),0,QUOTIENT(Données_Planning!J514,60)))</f>
        <v>0</v>
      </c>
      <c r="N516" s="7" t="str">
        <f t="shared" si="66"/>
        <v>min</v>
      </c>
      <c r="O516" s="36">
        <f>(IF(OR(A516="DWF",A516="DNF"),Données_Planning!J514,MOD(Données_Planning!J514,60)))</f>
        <v>0</v>
      </c>
      <c r="P516" s="28" t="str">
        <f t="shared" si="67"/>
        <v>s</v>
      </c>
      <c r="Q516" s="37">
        <f>(IF(OR(A516="DWF",A516="DNF"),0,QUOTIENT(Données_Planning!I514,60)))</f>
        <v>0</v>
      </c>
      <c r="R516" s="7" t="str">
        <f t="shared" si="68"/>
        <v>min</v>
      </c>
      <c r="S516" s="36">
        <f>(IF(OR(A516="DWF",A516="DNF"),Données_Planning!I514,MOD(Données_Planning!I514,60)))</f>
        <v>0</v>
      </c>
      <c r="T516" s="28" t="str">
        <f t="shared" si="69"/>
        <v>s</v>
      </c>
      <c r="U516" s="37">
        <f>(IF(OR(A516="DWF",A516="DNF"),0,QUOTIENT(Données_Planning!K514,60)))</f>
        <v>0</v>
      </c>
      <c r="V516" s="7" t="str">
        <f t="shared" si="70"/>
        <v>min</v>
      </c>
      <c r="W516" s="36">
        <f>(IF(OR(A516="DWF",A516="DNF"),Données_Planning!K514,MOD(Données_Planning!K514,60)))</f>
        <v>0</v>
      </c>
      <c r="X516" s="38" t="str">
        <f t="shared" si="71"/>
        <v>s</v>
      </c>
      <c r="Y516" s="42"/>
    </row>
    <row r="517" spans="1:25" ht="15.75" x14ac:dyDescent="0.25">
      <c r="A517" s="4">
        <f>Données_Planning!A515</f>
        <v>0</v>
      </c>
      <c r="B517" s="6">
        <f>Données_Planning!B515</f>
        <v>0</v>
      </c>
      <c r="C517" s="28">
        <f>Données_Planning!C515</f>
        <v>0</v>
      </c>
      <c r="D517" s="50">
        <f t="shared" ref="D517:D522" si="72">IF(G517 -TIME(0,$D$3,0)&gt;0, G517 -TIME(0,$D$3,0), 0)</f>
        <v>0</v>
      </c>
      <c r="E517" s="51">
        <f t="shared" ref="E517:E522" si="73">IF(G517 -TIME(0,$E$3,0)&gt;0, G517 -TIME(0,$E$3,0), 0)</f>
        <v>0</v>
      </c>
      <c r="F517" s="52">
        <f t="shared" ref="F517:F522" si="74">IF(G517 -TIME(0,$F$3,0)&gt;0, G517 -TIME(0,$F$3,0), 0)</f>
        <v>0</v>
      </c>
      <c r="G517" s="47">
        <f>Données_Planning!L515</f>
        <v>0</v>
      </c>
      <c r="H517" s="18">
        <f>Données_Planning!H515</f>
        <v>0</v>
      </c>
      <c r="I517" s="5">
        <f>Données_Planning!D515</f>
        <v>0</v>
      </c>
      <c r="J517" s="22">
        <f>Données_Planning!F515</f>
        <v>0</v>
      </c>
      <c r="K517" s="22">
        <f>Données_Planning!E515</f>
        <v>0</v>
      </c>
      <c r="L517" s="35">
        <f>Données_Planning!G515</f>
        <v>0</v>
      </c>
      <c r="M517" s="37">
        <f>(IF(OR(A517="DWF",A517="DNF"),0,QUOTIENT(Données_Planning!J515,60)))</f>
        <v>0</v>
      </c>
      <c r="N517" s="7" t="str">
        <f t="shared" ref="N517:N522" si="75">(IF(OR(A517="DWF",A517="DNF"),0,"min"))</f>
        <v>min</v>
      </c>
      <c r="O517" s="36">
        <f>(IF(OR(A517="DWF",A517="DNF"),Données_Planning!J515,MOD(Données_Planning!J515,60)))</f>
        <v>0</v>
      </c>
      <c r="P517" s="28" t="str">
        <f t="shared" ref="P517:P522" si="76">(IF(OR(A517="DWF",A517="DNF"),"m","s"))</f>
        <v>s</v>
      </c>
      <c r="Q517" s="37">
        <f>(IF(OR(A517="DWF",A517="DNF"),0,QUOTIENT(Données_Planning!I515,60)))</f>
        <v>0</v>
      </c>
      <c r="R517" s="7" t="str">
        <f t="shared" ref="R517:R522" si="77">(IF(OR(A517="DWF",A517="DNF"),0,"min"))</f>
        <v>min</v>
      </c>
      <c r="S517" s="36">
        <f>(IF(OR(A517="DWF",A517="DNF"),Données_Planning!I515,MOD(Données_Planning!I515,60)))</f>
        <v>0</v>
      </c>
      <c r="T517" s="28" t="str">
        <f t="shared" ref="T517:T522" si="78">(IF(OR(A517="DWF",A517="DNF"),"m","s"))</f>
        <v>s</v>
      </c>
      <c r="U517" s="37">
        <f>(IF(OR(A517="DWF",A517="DNF"),0,QUOTIENT(Données_Planning!K515,60)))</f>
        <v>0</v>
      </c>
      <c r="V517" s="7" t="str">
        <f t="shared" ref="V517:V522" si="79">(IF(OR(A517="DWF",A517="DNF"),0,"min"))</f>
        <v>min</v>
      </c>
      <c r="W517" s="36">
        <f>(IF(OR(A517="DWF",A517="DNF"),Données_Planning!K515,MOD(Données_Planning!K515,60)))</f>
        <v>0</v>
      </c>
      <c r="X517" s="38" t="str">
        <f t="shared" ref="X517:X522" si="80">(IF(OR(A517="DWF",A517="DNF"),"m","s"))</f>
        <v>s</v>
      </c>
      <c r="Y517" s="42"/>
    </row>
    <row r="518" spans="1:25" ht="15.75" x14ac:dyDescent="0.25">
      <c r="A518" s="4">
        <f>Données_Planning!A516</f>
        <v>0</v>
      </c>
      <c r="B518" s="6">
        <f>Données_Planning!B516</f>
        <v>0</v>
      </c>
      <c r="C518" s="28">
        <f>Données_Planning!C516</f>
        <v>0</v>
      </c>
      <c r="D518" s="50">
        <f t="shared" si="72"/>
        <v>0</v>
      </c>
      <c r="E518" s="51">
        <f t="shared" si="73"/>
        <v>0</v>
      </c>
      <c r="F518" s="52">
        <f t="shared" si="74"/>
        <v>0</v>
      </c>
      <c r="G518" s="47">
        <f>Données_Planning!L516</f>
        <v>0</v>
      </c>
      <c r="H518" s="18">
        <f>Données_Planning!H516</f>
        <v>0</v>
      </c>
      <c r="I518" s="5">
        <f>Données_Planning!D516</f>
        <v>0</v>
      </c>
      <c r="J518" s="22">
        <f>Données_Planning!F516</f>
        <v>0</v>
      </c>
      <c r="K518" s="22">
        <f>Données_Planning!E516</f>
        <v>0</v>
      </c>
      <c r="L518" s="35">
        <f>Données_Planning!G516</f>
        <v>0</v>
      </c>
      <c r="M518" s="37">
        <f>(IF(OR(A518="DWF",A518="DNF"),0,QUOTIENT(Données_Planning!J516,60)))</f>
        <v>0</v>
      </c>
      <c r="N518" s="7" t="str">
        <f t="shared" si="75"/>
        <v>min</v>
      </c>
      <c r="O518" s="36">
        <f>(IF(OR(A518="DWF",A518="DNF"),Données_Planning!J516,MOD(Données_Planning!J516,60)))</f>
        <v>0</v>
      </c>
      <c r="P518" s="28" t="str">
        <f t="shared" si="76"/>
        <v>s</v>
      </c>
      <c r="Q518" s="37">
        <f>(IF(OR(A518="DWF",A518="DNF"),0,QUOTIENT(Données_Planning!I516,60)))</f>
        <v>0</v>
      </c>
      <c r="R518" s="7" t="str">
        <f t="shared" si="77"/>
        <v>min</v>
      </c>
      <c r="S518" s="36">
        <f>(IF(OR(A518="DWF",A518="DNF"),Données_Planning!I516,MOD(Données_Planning!I516,60)))</f>
        <v>0</v>
      </c>
      <c r="T518" s="28" t="str">
        <f t="shared" si="78"/>
        <v>s</v>
      </c>
      <c r="U518" s="37">
        <f>(IF(OR(A518="DWF",A518="DNF"),0,QUOTIENT(Données_Planning!K516,60)))</f>
        <v>0</v>
      </c>
      <c r="V518" s="7" t="str">
        <f t="shared" si="79"/>
        <v>min</v>
      </c>
      <c r="W518" s="36">
        <f>(IF(OR(A518="DWF",A518="DNF"),Données_Planning!K516,MOD(Données_Planning!K516,60)))</f>
        <v>0</v>
      </c>
      <c r="X518" s="38" t="str">
        <f t="shared" si="80"/>
        <v>s</v>
      </c>
      <c r="Y518" s="42"/>
    </row>
    <row r="519" spans="1:25" ht="15.75" x14ac:dyDescent="0.25">
      <c r="A519" s="4">
        <f>Données_Planning!A517</f>
        <v>0</v>
      </c>
      <c r="B519" s="6">
        <f>Données_Planning!B517</f>
        <v>0</v>
      </c>
      <c r="C519" s="28">
        <f>Données_Planning!C517</f>
        <v>0</v>
      </c>
      <c r="D519" s="50">
        <f t="shared" si="72"/>
        <v>0</v>
      </c>
      <c r="E519" s="51">
        <f t="shared" si="73"/>
        <v>0</v>
      </c>
      <c r="F519" s="52">
        <f t="shared" si="74"/>
        <v>0</v>
      </c>
      <c r="G519" s="47">
        <f>Données_Planning!L517</f>
        <v>0</v>
      </c>
      <c r="H519" s="18">
        <f>Données_Planning!H517</f>
        <v>0</v>
      </c>
      <c r="I519" s="5">
        <f>Données_Planning!D517</f>
        <v>0</v>
      </c>
      <c r="J519" s="22">
        <f>Données_Planning!F517</f>
        <v>0</v>
      </c>
      <c r="K519" s="22">
        <f>Données_Planning!E517</f>
        <v>0</v>
      </c>
      <c r="L519" s="35">
        <f>Données_Planning!G517</f>
        <v>0</v>
      </c>
      <c r="M519" s="37">
        <f>(IF(OR(A519="DWF",A519="DNF"),0,QUOTIENT(Données_Planning!J517,60)))</f>
        <v>0</v>
      </c>
      <c r="N519" s="7" t="str">
        <f t="shared" si="75"/>
        <v>min</v>
      </c>
      <c r="O519" s="36">
        <f>(IF(OR(A519="DWF",A519="DNF"),Données_Planning!J517,MOD(Données_Planning!J517,60)))</f>
        <v>0</v>
      </c>
      <c r="P519" s="28" t="str">
        <f t="shared" si="76"/>
        <v>s</v>
      </c>
      <c r="Q519" s="37">
        <f>(IF(OR(A519="DWF",A519="DNF"),0,QUOTIENT(Données_Planning!I517,60)))</f>
        <v>0</v>
      </c>
      <c r="R519" s="7" t="str">
        <f t="shared" si="77"/>
        <v>min</v>
      </c>
      <c r="S519" s="36">
        <f>(IF(OR(A519="DWF",A519="DNF"),Données_Planning!I517,MOD(Données_Planning!I517,60)))</f>
        <v>0</v>
      </c>
      <c r="T519" s="28" t="str">
        <f t="shared" si="78"/>
        <v>s</v>
      </c>
      <c r="U519" s="37">
        <f>(IF(OR(A519="DWF",A519="DNF"),0,QUOTIENT(Données_Planning!K517,60)))</f>
        <v>0</v>
      </c>
      <c r="V519" s="7" t="str">
        <f t="shared" si="79"/>
        <v>min</v>
      </c>
      <c r="W519" s="36">
        <f>(IF(OR(A519="DWF",A519="DNF"),Données_Planning!K517,MOD(Données_Planning!K517,60)))</f>
        <v>0</v>
      </c>
      <c r="X519" s="38" t="str">
        <f t="shared" si="80"/>
        <v>s</v>
      </c>
      <c r="Y519" s="42"/>
    </row>
    <row r="520" spans="1:25" ht="15.75" x14ac:dyDescent="0.25">
      <c r="A520" s="4">
        <f>Données_Planning!A518</f>
        <v>0</v>
      </c>
      <c r="B520" s="6">
        <f>Données_Planning!B518</f>
        <v>0</v>
      </c>
      <c r="C520" s="28">
        <f>Données_Planning!C518</f>
        <v>0</v>
      </c>
      <c r="D520" s="50">
        <f t="shared" si="72"/>
        <v>0</v>
      </c>
      <c r="E520" s="51">
        <f t="shared" si="73"/>
        <v>0</v>
      </c>
      <c r="F520" s="52">
        <f t="shared" si="74"/>
        <v>0</v>
      </c>
      <c r="G520" s="47">
        <f>Données_Planning!L518</f>
        <v>0</v>
      </c>
      <c r="H520" s="18">
        <f>Données_Planning!H518</f>
        <v>0</v>
      </c>
      <c r="I520" s="5">
        <f>Données_Planning!D518</f>
        <v>0</v>
      </c>
      <c r="J520" s="22">
        <f>Données_Planning!F518</f>
        <v>0</v>
      </c>
      <c r="K520" s="22">
        <f>Données_Planning!E518</f>
        <v>0</v>
      </c>
      <c r="L520" s="35">
        <f>Données_Planning!G518</f>
        <v>0</v>
      </c>
      <c r="M520" s="37">
        <f>(IF(OR(A520="DWF",A520="DNF"),0,QUOTIENT(Données_Planning!J518,60)))</f>
        <v>0</v>
      </c>
      <c r="N520" s="7" t="str">
        <f t="shared" si="75"/>
        <v>min</v>
      </c>
      <c r="O520" s="36">
        <f>(IF(OR(A520="DWF",A520="DNF"),Données_Planning!J518,MOD(Données_Planning!J518,60)))</f>
        <v>0</v>
      </c>
      <c r="P520" s="28" t="str">
        <f t="shared" si="76"/>
        <v>s</v>
      </c>
      <c r="Q520" s="37">
        <f>(IF(OR(A520="DWF",A520="DNF"),0,QUOTIENT(Données_Planning!I518,60)))</f>
        <v>0</v>
      </c>
      <c r="R520" s="7" t="str">
        <f t="shared" si="77"/>
        <v>min</v>
      </c>
      <c r="S520" s="36">
        <f>(IF(OR(A520="DWF",A520="DNF"),Données_Planning!I518,MOD(Données_Planning!I518,60)))</f>
        <v>0</v>
      </c>
      <c r="T520" s="28" t="str">
        <f t="shared" si="78"/>
        <v>s</v>
      </c>
      <c r="U520" s="37">
        <f>(IF(OR(A520="DWF",A520="DNF"),0,QUOTIENT(Données_Planning!K518,60)))</f>
        <v>0</v>
      </c>
      <c r="V520" s="7" t="str">
        <f t="shared" si="79"/>
        <v>min</v>
      </c>
      <c r="W520" s="36">
        <f>(IF(OR(A520="DWF",A520="DNF"),Données_Planning!K518,MOD(Données_Planning!K518,60)))</f>
        <v>0</v>
      </c>
      <c r="X520" s="38" t="str">
        <f t="shared" si="80"/>
        <v>s</v>
      </c>
      <c r="Y520" s="42"/>
    </row>
    <row r="521" spans="1:25" ht="15.75" x14ac:dyDescent="0.25">
      <c r="A521" s="4">
        <f>Données_Planning!A519</f>
        <v>0</v>
      </c>
      <c r="B521" s="6">
        <f>Données_Planning!B519</f>
        <v>0</v>
      </c>
      <c r="C521" s="28">
        <f>Données_Planning!C519</f>
        <v>0</v>
      </c>
      <c r="D521" s="50">
        <f t="shared" si="72"/>
        <v>0</v>
      </c>
      <c r="E521" s="51">
        <f t="shared" si="73"/>
        <v>0</v>
      </c>
      <c r="F521" s="52">
        <f t="shared" si="74"/>
        <v>0</v>
      </c>
      <c r="G521" s="47">
        <f>Données_Planning!L519</f>
        <v>0</v>
      </c>
      <c r="H521" s="18">
        <f>Données_Planning!H519</f>
        <v>0</v>
      </c>
      <c r="I521" s="5">
        <f>Données_Planning!D519</f>
        <v>0</v>
      </c>
      <c r="J521" s="22">
        <f>Données_Planning!F519</f>
        <v>0</v>
      </c>
      <c r="K521" s="22">
        <f>Données_Planning!E519</f>
        <v>0</v>
      </c>
      <c r="L521" s="35">
        <f>Données_Planning!G519</f>
        <v>0</v>
      </c>
      <c r="M521" s="37">
        <f>(IF(OR(A521="DWF",A521="DNF"),0,QUOTIENT(Données_Planning!J519,60)))</f>
        <v>0</v>
      </c>
      <c r="N521" s="7" t="str">
        <f t="shared" si="75"/>
        <v>min</v>
      </c>
      <c r="O521" s="36">
        <f>(IF(OR(A521="DWF",A521="DNF"),Données_Planning!J519,MOD(Données_Planning!J519,60)))</f>
        <v>0</v>
      </c>
      <c r="P521" s="28" t="str">
        <f t="shared" si="76"/>
        <v>s</v>
      </c>
      <c r="Q521" s="37">
        <f>(IF(OR(A521="DWF",A521="DNF"),0,QUOTIENT(Données_Planning!I519,60)))</f>
        <v>0</v>
      </c>
      <c r="R521" s="7" t="str">
        <f t="shared" si="77"/>
        <v>min</v>
      </c>
      <c r="S521" s="36">
        <f>(IF(OR(A521="DWF",A521="DNF"),Données_Planning!I519,MOD(Données_Planning!I519,60)))</f>
        <v>0</v>
      </c>
      <c r="T521" s="28" t="str">
        <f t="shared" si="78"/>
        <v>s</v>
      </c>
      <c r="U521" s="37">
        <f>(IF(OR(A521="DWF",A521="DNF"),0,QUOTIENT(Données_Planning!K519,60)))</f>
        <v>0</v>
      </c>
      <c r="V521" s="7" t="str">
        <f t="shared" si="79"/>
        <v>min</v>
      </c>
      <c r="W521" s="36">
        <f>(IF(OR(A521="DWF",A521="DNF"),Données_Planning!K519,MOD(Données_Planning!K519,60)))</f>
        <v>0</v>
      </c>
      <c r="X521" s="38" t="str">
        <f t="shared" si="80"/>
        <v>s</v>
      </c>
      <c r="Y521" s="42"/>
    </row>
    <row r="522" spans="1:25" ht="16.5" thickBot="1" x14ac:dyDescent="0.3">
      <c r="A522" s="4">
        <f>Données_Planning!A520</f>
        <v>0</v>
      </c>
      <c r="B522" s="6">
        <f>Données_Planning!B520</f>
        <v>0</v>
      </c>
      <c r="C522" s="28">
        <f>Données_Planning!C520</f>
        <v>0</v>
      </c>
      <c r="D522" s="50">
        <f t="shared" si="72"/>
        <v>0</v>
      </c>
      <c r="E522" s="51">
        <f t="shared" si="73"/>
        <v>0</v>
      </c>
      <c r="F522" s="52">
        <f t="shared" si="74"/>
        <v>0</v>
      </c>
      <c r="G522" s="47">
        <f>Données_Planning!L520</f>
        <v>0</v>
      </c>
      <c r="H522" s="18">
        <f>Données_Planning!H520</f>
        <v>0</v>
      </c>
      <c r="I522" s="5">
        <f>Données_Planning!D520</f>
        <v>0</v>
      </c>
      <c r="J522" s="22">
        <f>Données_Planning!F520</f>
        <v>0</v>
      </c>
      <c r="K522" s="22">
        <f>Données_Planning!E520</f>
        <v>0</v>
      </c>
      <c r="L522" s="35">
        <f>Données_Planning!G520</f>
        <v>0</v>
      </c>
      <c r="M522" s="39">
        <f>(IF(OR(A522="DWF",A522="DNF"),0,QUOTIENT(Données_Planning!J520,60)))</f>
        <v>0</v>
      </c>
      <c r="N522" s="29" t="str">
        <f t="shared" si="75"/>
        <v>min</v>
      </c>
      <c r="O522" s="40">
        <f>(IF(OR(A522="DWF",A522="DNF"),Données_Planning!J520,MOD(Données_Planning!J520,60)))</f>
        <v>0</v>
      </c>
      <c r="P522" s="30" t="str">
        <f t="shared" si="76"/>
        <v>s</v>
      </c>
      <c r="Q522" s="39">
        <f>(IF(OR(A522="DWF",A522="DNF"),0,QUOTIENT(Données_Planning!I520,60)))</f>
        <v>0</v>
      </c>
      <c r="R522" s="29" t="str">
        <f t="shared" si="77"/>
        <v>min</v>
      </c>
      <c r="S522" s="40">
        <f>(IF(OR(A522="DWF",A522="DNF"),Données_Planning!I520,MOD(Données_Planning!I520,60)))</f>
        <v>0</v>
      </c>
      <c r="T522" s="30" t="str">
        <f t="shared" si="78"/>
        <v>s</v>
      </c>
      <c r="U522" s="39">
        <f>(IF(OR(A522="DWF",A522="DNF"),0,QUOTIENT(Données_Planning!K520,60)))</f>
        <v>0</v>
      </c>
      <c r="V522" s="29" t="str">
        <f t="shared" si="79"/>
        <v>min</v>
      </c>
      <c r="W522" s="40">
        <f>(IF(OR(A522="DWF",A522="DNF"),Données_Planning!K520,MOD(Données_Planning!K520,60)))</f>
        <v>0</v>
      </c>
      <c r="X522" s="20" t="str">
        <f t="shared" si="80"/>
        <v>s</v>
      </c>
      <c r="Y522" s="42"/>
    </row>
  </sheetData>
  <mergeCells count="11">
    <mergeCell ref="Y1:Y2"/>
    <mergeCell ref="H1:H2"/>
    <mergeCell ref="I1:L1"/>
    <mergeCell ref="A1:A2"/>
    <mergeCell ref="M1:P1"/>
    <mergeCell ref="Q1:T2"/>
    <mergeCell ref="U1:X1"/>
    <mergeCell ref="M2:P2"/>
    <mergeCell ref="U2:X2"/>
    <mergeCell ref="B1:C1"/>
    <mergeCell ref="D1:G1"/>
  </mergeCells>
  <conditionalFormatting sqref="A1:Y104857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D1000"/>
  <sheetViews>
    <sheetView tabSelected="1" zoomScale="85" zoomScaleNormal="85" workbookViewId="0">
      <selection activeCell="I6" sqref="I6"/>
    </sheetView>
  </sheetViews>
  <sheetFormatPr baseColWidth="10" defaultRowHeight="15" x14ac:dyDescent="0.25"/>
  <cols>
    <col min="1" max="1" width="15.7109375" style="35" bestFit="1" customWidth="1"/>
    <col min="2" max="2" width="17.140625" style="5" bestFit="1" customWidth="1"/>
    <col min="3" max="3" width="15.28515625" style="59" bestFit="1" customWidth="1"/>
    <col min="4" max="4" width="12.85546875" style="59" bestFit="1" customWidth="1"/>
    <col min="5" max="5" width="17.140625" style="59" bestFit="1" customWidth="1"/>
    <col min="6" max="6" width="35" style="67" bestFit="1" customWidth="1"/>
    <col min="7" max="7" width="11.28515625" style="66" bestFit="1" customWidth="1"/>
    <col min="8" max="8" width="11.42578125" style="67" bestFit="1" customWidth="1"/>
    <col min="9" max="9" width="14.5703125" style="76" bestFit="1" customWidth="1"/>
    <col min="10" max="10" width="12.140625" style="77" bestFit="1" customWidth="1"/>
    <col min="11" max="11" width="12.7109375" style="76" bestFit="1" customWidth="1"/>
    <col min="12" max="12" width="13.140625" style="78" bestFit="1" customWidth="1"/>
    <col min="13" max="13" width="12.7109375" style="78" bestFit="1" customWidth="1"/>
    <col min="14" max="14" width="13.140625" style="79" bestFit="1" customWidth="1"/>
    <col min="15" max="15" width="19.28515625" style="66" bestFit="1" customWidth="1"/>
  </cols>
  <sheetData>
    <row r="1" spans="1:30" s="1" customFormat="1" ht="37.5" customHeight="1" thickBot="1" x14ac:dyDescent="0.3">
      <c r="A1" s="110" t="s">
        <v>144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2"/>
    </row>
    <row r="2" spans="1:30" s="58" customFormat="1" ht="16.5" thickBot="1" x14ac:dyDescent="0.3">
      <c r="A2" s="68" t="s">
        <v>145</v>
      </c>
      <c r="B2" s="113" t="s">
        <v>146</v>
      </c>
      <c r="C2" s="114"/>
      <c r="D2" s="114"/>
      <c r="E2" s="114"/>
      <c r="F2" s="115"/>
      <c r="G2" s="116" t="s">
        <v>147</v>
      </c>
      <c r="H2" s="117"/>
      <c r="I2" s="118" t="s">
        <v>142</v>
      </c>
      <c r="J2" s="119" t="s">
        <v>1</v>
      </c>
      <c r="K2" s="120" t="s">
        <v>148</v>
      </c>
      <c r="L2" s="121"/>
      <c r="M2" s="121"/>
      <c r="N2" s="122"/>
      <c r="O2" s="64" t="s">
        <v>149</v>
      </c>
    </row>
    <row r="3" spans="1:30" s="57" customFormat="1" ht="15.75" thickBot="1" x14ac:dyDescent="0.3">
      <c r="A3" s="69" t="s">
        <v>4</v>
      </c>
      <c r="B3" s="61" t="s">
        <v>14</v>
      </c>
      <c r="C3" s="62" t="s">
        <v>15</v>
      </c>
      <c r="D3" s="62" t="s">
        <v>16</v>
      </c>
      <c r="E3" s="62" t="s">
        <v>13</v>
      </c>
      <c r="F3" s="63" t="s">
        <v>19</v>
      </c>
      <c r="G3" s="70" t="s">
        <v>0</v>
      </c>
      <c r="H3" s="63" t="s">
        <v>143</v>
      </c>
      <c r="I3" s="71" t="s">
        <v>142</v>
      </c>
      <c r="J3" s="72" t="s">
        <v>1</v>
      </c>
      <c r="K3" s="73" t="s">
        <v>25</v>
      </c>
      <c r="L3" s="74" t="s">
        <v>26</v>
      </c>
      <c r="M3" s="74" t="s">
        <v>27</v>
      </c>
      <c r="N3" s="75" t="s">
        <v>28</v>
      </c>
      <c r="O3" s="65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</row>
    <row r="4" spans="1:30" x14ac:dyDescent="0.25">
      <c r="A4" s="60" t="s">
        <v>154</v>
      </c>
      <c r="B4" s="60" t="s">
        <v>88</v>
      </c>
      <c r="C4" s="60" t="s">
        <v>87</v>
      </c>
      <c r="D4" s="60" t="s">
        <v>43</v>
      </c>
      <c r="E4" s="60">
        <v>13</v>
      </c>
      <c r="F4" s="60" t="s">
        <v>72</v>
      </c>
      <c r="G4" s="60">
        <v>1</v>
      </c>
      <c r="H4" s="60">
        <v>1</v>
      </c>
      <c r="I4" s="60" t="s">
        <v>10</v>
      </c>
      <c r="J4" s="85">
        <v>0.40625</v>
      </c>
      <c r="K4" s="60">
        <v>3</v>
      </c>
      <c r="L4" s="60" t="s">
        <v>150</v>
      </c>
      <c r="M4" s="60">
        <v>30</v>
      </c>
      <c r="N4" s="60" t="s">
        <v>151</v>
      </c>
      <c r="O4" s="60"/>
      <c r="Q4" s="81"/>
      <c r="R4" s="81"/>
      <c r="S4" s="81"/>
      <c r="T4" s="81"/>
      <c r="U4" s="81"/>
      <c r="V4" s="81"/>
      <c r="W4" s="81"/>
      <c r="X4" s="81"/>
      <c r="Y4" s="82"/>
      <c r="Z4" s="83"/>
      <c r="AA4" s="82"/>
      <c r="AB4" s="82"/>
      <c r="AC4" s="82"/>
      <c r="AD4" s="82"/>
    </row>
    <row r="5" spans="1:30" x14ac:dyDescent="0.25">
      <c r="A5" s="59" t="s">
        <v>154</v>
      </c>
      <c r="B5" s="59" t="s">
        <v>86</v>
      </c>
      <c r="C5" s="59" t="s">
        <v>85</v>
      </c>
      <c r="D5" s="59" t="s">
        <v>43</v>
      </c>
      <c r="E5" s="59">
        <v>34</v>
      </c>
      <c r="F5" s="59" t="s">
        <v>64</v>
      </c>
      <c r="G5" s="59">
        <v>1</v>
      </c>
      <c r="H5" s="59">
        <v>2</v>
      </c>
      <c r="I5" s="59" t="s">
        <v>10</v>
      </c>
      <c r="J5" s="86">
        <v>0.40625</v>
      </c>
      <c r="K5" s="59">
        <v>3</v>
      </c>
      <c r="L5" s="59" t="s">
        <v>150</v>
      </c>
      <c r="M5" s="59">
        <v>35</v>
      </c>
      <c r="N5" s="59" t="s">
        <v>151</v>
      </c>
      <c r="O5" s="59"/>
      <c r="Q5" s="81"/>
      <c r="R5" s="81"/>
      <c r="S5" s="81"/>
      <c r="T5" s="81"/>
      <c r="U5" s="81"/>
      <c r="V5" s="81"/>
      <c r="W5" s="81"/>
      <c r="X5" s="81"/>
      <c r="Y5" s="82"/>
      <c r="Z5" s="83"/>
      <c r="AA5" s="82"/>
      <c r="AB5" s="82"/>
      <c r="AC5" s="82"/>
      <c r="AD5" s="82"/>
    </row>
    <row r="6" spans="1:30" x14ac:dyDescent="0.25">
      <c r="A6" s="59" t="s">
        <v>154</v>
      </c>
      <c r="B6" s="59" t="s">
        <v>84</v>
      </c>
      <c r="C6" s="59" t="s">
        <v>83</v>
      </c>
      <c r="D6" s="59" t="s">
        <v>43</v>
      </c>
      <c r="E6" s="59">
        <v>27</v>
      </c>
      <c r="F6" s="59" t="s">
        <v>69</v>
      </c>
      <c r="G6" s="59">
        <v>1</v>
      </c>
      <c r="H6" s="59">
        <v>3</v>
      </c>
      <c r="I6" s="59" t="s">
        <v>10</v>
      </c>
      <c r="J6" s="86">
        <v>0.40625</v>
      </c>
      <c r="K6" s="59">
        <v>3</v>
      </c>
      <c r="L6" s="59" t="s">
        <v>150</v>
      </c>
      <c r="M6" s="59">
        <v>50</v>
      </c>
      <c r="N6" s="59" t="s">
        <v>151</v>
      </c>
      <c r="O6" s="59"/>
      <c r="Q6" s="81"/>
      <c r="R6" s="81"/>
      <c r="S6" s="81"/>
      <c r="T6" s="81"/>
      <c r="U6" s="81"/>
      <c r="V6" s="81"/>
      <c r="W6" s="81"/>
      <c r="X6" s="81"/>
      <c r="Y6" s="82"/>
      <c r="Z6" s="83"/>
      <c r="AA6" s="82"/>
      <c r="AB6" s="82"/>
      <c r="AC6" s="82"/>
      <c r="AD6" s="82"/>
    </row>
    <row r="7" spans="1:30" x14ac:dyDescent="0.25">
      <c r="A7" s="59" t="s">
        <v>154</v>
      </c>
      <c r="B7" s="59" t="s">
        <v>81</v>
      </c>
      <c r="C7" s="59" t="s">
        <v>80</v>
      </c>
      <c r="D7" s="59" t="s">
        <v>43</v>
      </c>
      <c r="E7" s="59">
        <v>41</v>
      </c>
      <c r="F7" s="59" t="s">
        <v>82</v>
      </c>
      <c r="G7" s="59">
        <v>1</v>
      </c>
      <c r="H7" s="59">
        <v>4</v>
      </c>
      <c r="I7" s="59" t="s">
        <v>10</v>
      </c>
      <c r="J7" s="86">
        <v>0.40625</v>
      </c>
      <c r="K7" s="59">
        <v>4</v>
      </c>
      <c r="L7" s="59" t="s">
        <v>150</v>
      </c>
      <c r="M7" s="59">
        <v>0</v>
      </c>
      <c r="N7" s="59" t="s">
        <v>151</v>
      </c>
      <c r="O7" s="59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</row>
    <row r="8" spans="1:30" x14ac:dyDescent="0.25">
      <c r="A8" s="59" t="s">
        <v>154</v>
      </c>
      <c r="B8" s="59" t="s">
        <v>79</v>
      </c>
      <c r="C8" s="59" t="s">
        <v>78</v>
      </c>
      <c r="D8" s="59" t="s">
        <v>49</v>
      </c>
      <c r="E8" s="59">
        <v>25</v>
      </c>
      <c r="F8" s="59" t="s">
        <v>77</v>
      </c>
      <c r="G8" s="59">
        <v>2</v>
      </c>
      <c r="H8" s="59">
        <v>1</v>
      </c>
      <c r="I8" s="59" t="s">
        <v>10</v>
      </c>
      <c r="J8" s="86">
        <v>0.4145833333333333</v>
      </c>
      <c r="K8" s="59">
        <v>4</v>
      </c>
      <c r="L8" s="59" t="s">
        <v>150</v>
      </c>
      <c r="M8" s="59">
        <v>10</v>
      </c>
      <c r="N8" s="59" t="s">
        <v>151</v>
      </c>
      <c r="O8" s="59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</row>
    <row r="9" spans="1:30" x14ac:dyDescent="0.25">
      <c r="A9" s="59" t="s">
        <v>154</v>
      </c>
      <c r="B9" s="59" t="s">
        <v>76</v>
      </c>
      <c r="C9" s="59" t="s">
        <v>75</v>
      </c>
      <c r="D9" s="59" t="s">
        <v>43</v>
      </c>
      <c r="E9" s="59">
        <v>22</v>
      </c>
      <c r="F9" s="59" t="s">
        <v>77</v>
      </c>
      <c r="G9" s="59">
        <v>2</v>
      </c>
      <c r="H9" s="59">
        <v>2</v>
      </c>
      <c r="I9" s="59" t="s">
        <v>10</v>
      </c>
      <c r="J9" s="86">
        <v>0.4145833333333333</v>
      </c>
      <c r="K9" s="59">
        <v>4</v>
      </c>
      <c r="L9" s="59" t="s">
        <v>150</v>
      </c>
      <c r="M9" s="59">
        <v>25</v>
      </c>
      <c r="N9" s="59" t="s">
        <v>151</v>
      </c>
      <c r="O9" s="59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</row>
    <row r="10" spans="1:30" x14ac:dyDescent="0.25">
      <c r="A10" s="59" t="s">
        <v>154</v>
      </c>
      <c r="B10" s="59" t="s">
        <v>74</v>
      </c>
      <c r="C10" s="59" t="s">
        <v>73</v>
      </c>
      <c r="D10" s="59" t="s">
        <v>43</v>
      </c>
      <c r="E10" s="59">
        <v>10</v>
      </c>
      <c r="F10" s="59" t="s">
        <v>59</v>
      </c>
      <c r="G10" s="59">
        <v>2</v>
      </c>
      <c r="H10" s="59">
        <v>3</v>
      </c>
      <c r="I10" s="59" t="s">
        <v>10</v>
      </c>
      <c r="J10" s="86">
        <v>0.4145833333333333</v>
      </c>
      <c r="K10" s="59">
        <v>4</v>
      </c>
      <c r="L10" s="59" t="s">
        <v>150</v>
      </c>
      <c r="M10" s="59">
        <v>30</v>
      </c>
      <c r="N10" s="59" t="s">
        <v>151</v>
      </c>
      <c r="O10" s="59"/>
    </row>
    <row r="11" spans="1:30" x14ac:dyDescent="0.25">
      <c r="A11" s="59" t="s">
        <v>154</v>
      </c>
      <c r="B11" s="59" t="s">
        <v>71</v>
      </c>
      <c r="C11" s="59" t="s">
        <v>70</v>
      </c>
      <c r="D11" s="59" t="s">
        <v>49</v>
      </c>
      <c r="E11" s="59">
        <v>15</v>
      </c>
      <c r="F11" s="59" t="s">
        <v>72</v>
      </c>
      <c r="G11" s="59">
        <v>2</v>
      </c>
      <c r="H11" s="59">
        <v>4</v>
      </c>
      <c r="I11" s="59" t="s">
        <v>10</v>
      </c>
      <c r="J11" s="86">
        <v>0.4145833333333333</v>
      </c>
      <c r="K11" s="59">
        <v>4</v>
      </c>
      <c r="L11" s="59" t="s">
        <v>150</v>
      </c>
      <c r="M11" s="59">
        <v>30</v>
      </c>
      <c r="N11" s="59" t="s">
        <v>151</v>
      </c>
      <c r="O11" s="59"/>
    </row>
    <row r="12" spans="1:30" x14ac:dyDescent="0.25">
      <c r="A12" s="59" t="s">
        <v>154</v>
      </c>
      <c r="B12" s="59" t="s">
        <v>68</v>
      </c>
      <c r="C12" s="59" t="s">
        <v>67</v>
      </c>
      <c r="D12" s="59" t="s">
        <v>43</v>
      </c>
      <c r="E12" s="59">
        <v>29</v>
      </c>
      <c r="F12" s="59" t="s">
        <v>69</v>
      </c>
      <c r="G12" s="59">
        <v>3</v>
      </c>
      <c r="H12" s="59">
        <v>1</v>
      </c>
      <c r="I12" s="59" t="s">
        <v>10</v>
      </c>
      <c r="J12" s="86">
        <v>0.42291666666666672</v>
      </c>
      <c r="K12" s="59">
        <v>4</v>
      </c>
      <c r="L12" s="59" t="s">
        <v>150</v>
      </c>
      <c r="M12" s="59">
        <v>30</v>
      </c>
      <c r="N12" s="59" t="s">
        <v>151</v>
      </c>
      <c r="O12" s="59"/>
    </row>
    <row r="13" spans="1:30" x14ac:dyDescent="0.25">
      <c r="A13" s="59" t="s">
        <v>154</v>
      </c>
      <c r="B13" s="59" t="s">
        <v>66</v>
      </c>
      <c r="C13" s="59" t="s">
        <v>65</v>
      </c>
      <c r="D13" s="59" t="s">
        <v>49</v>
      </c>
      <c r="E13" s="59">
        <v>46</v>
      </c>
      <c r="F13" s="59" t="s">
        <v>44</v>
      </c>
      <c r="G13" s="59">
        <v>3</v>
      </c>
      <c r="H13" s="59">
        <v>2</v>
      </c>
      <c r="I13" s="59" t="s">
        <v>10</v>
      </c>
      <c r="J13" s="86">
        <v>0.42291666666666672</v>
      </c>
      <c r="K13" s="59">
        <v>4</v>
      </c>
      <c r="L13" s="59" t="s">
        <v>150</v>
      </c>
      <c r="M13" s="59">
        <v>45</v>
      </c>
      <c r="N13" s="59" t="s">
        <v>151</v>
      </c>
      <c r="O13" s="59"/>
    </row>
    <row r="14" spans="1:30" x14ac:dyDescent="0.25">
      <c r="A14" s="59" t="s">
        <v>154</v>
      </c>
      <c r="B14" s="59" t="s">
        <v>61</v>
      </c>
      <c r="C14" s="59" t="s">
        <v>60</v>
      </c>
      <c r="D14" s="59" t="s">
        <v>43</v>
      </c>
      <c r="E14" s="59">
        <v>19</v>
      </c>
      <c r="F14" s="59" t="s">
        <v>54</v>
      </c>
      <c r="G14" s="59">
        <v>3</v>
      </c>
      <c r="H14" s="59">
        <v>3</v>
      </c>
      <c r="I14" s="59" t="s">
        <v>10</v>
      </c>
      <c r="J14" s="86">
        <v>0.42291666666666672</v>
      </c>
      <c r="K14" s="59">
        <v>5</v>
      </c>
      <c r="L14" s="59" t="s">
        <v>150</v>
      </c>
      <c r="M14" s="59">
        <v>0</v>
      </c>
      <c r="N14" s="59" t="s">
        <v>151</v>
      </c>
      <c r="O14" s="59"/>
    </row>
    <row r="15" spans="1:30" x14ac:dyDescent="0.25">
      <c r="A15" s="59" t="s">
        <v>154</v>
      </c>
      <c r="B15" s="59" t="s">
        <v>63</v>
      </c>
      <c r="C15" s="59" t="s">
        <v>62</v>
      </c>
      <c r="D15" s="59" t="s">
        <v>43</v>
      </c>
      <c r="E15" s="59">
        <v>31</v>
      </c>
      <c r="F15" s="59" t="s">
        <v>64</v>
      </c>
      <c r="G15" s="59">
        <v>3</v>
      </c>
      <c r="H15" s="59">
        <v>4</v>
      </c>
      <c r="I15" s="59" t="s">
        <v>10</v>
      </c>
      <c r="J15" s="86">
        <v>0.42291666666666672</v>
      </c>
      <c r="K15" s="59">
        <v>5</v>
      </c>
      <c r="L15" s="59" t="s">
        <v>150</v>
      </c>
      <c r="M15" s="59">
        <v>0</v>
      </c>
      <c r="N15" s="59" t="s">
        <v>151</v>
      </c>
      <c r="O15" s="59"/>
    </row>
    <row r="16" spans="1:30" x14ac:dyDescent="0.25">
      <c r="A16" s="59" t="s">
        <v>154</v>
      </c>
      <c r="B16" s="59" t="s">
        <v>88</v>
      </c>
      <c r="C16" s="59" t="s">
        <v>87</v>
      </c>
      <c r="D16" s="59" t="s">
        <v>43</v>
      </c>
      <c r="E16" s="59">
        <v>13</v>
      </c>
      <c r="F16" s="59" t="s">
        <v>72</v>
      </c>
      <c r="G16" s="59">
        <v>1</v>
      </c>
      <c r="H16" s="59">
        <v>1</v>
      </c>
      <c r="I16" s="59" t="s">
        <v>11</v>
      </c>
      <c r="J16" s="86">
        <v>0.42499999999999999</v>
      </c>
      <c r="K16" s="59">
        <v>3</v>
      </c>
      <c r="L16" s="59" t="s">
        <v>150</v>
      </c>
      <c r="M16" s="59">
        <v>30</v>
      </c>
      <c r="N16" s="59" t="s">
        <v>151</v>
      </c>
      <c r="O16" s="59"/>
    </row>
    <row r="17" spans="1:15" x14ac:dyDescent="0.25">
      <c r="A17" s="59" t="s">
        <v>154</v>
      </c>
      <c r="B17" s="59" t="s">
        <v>86</v>
      </c>
      <c r="C17" s="59" t="s">
        <v>85</v>
      </c>
      <c r="D17" s="59" t="s">
        <v>43</v>
      </c>
      <c r="E17" s="59">
        <v>34</v>
      </c>
      <c r="F17" s="59" t="s">
        <v>64</v>
      </c>
      <c r="G17" s="59">
        <v>1</v>
      </c>
      <c r="H17" s="59">
        <v>2</v>
      </c>
      <c r="I17" s="59" t="s">
        <v>11</v>
      </c>
      <c r="J17" s="86">
        <v>0.42499999999999999</v>
      </c>
      <c r="K17" s="59">
        <v>3</v>
      </c>
      <c r="L17" s="59" t="s">
        <v>150</v>
      </c>
      <c r="M17" s="59">
        <v>35</v>
      </c>
      <c r="N17" s="59" t="s">
        <v>151</v>
      </c>
      <c r="O17" s="59"/>
    </row>
    <row r="18" spans="1:15" x14ac:dyDescent="0.25">
      <c r="A18" s="59" t="s">
        <v>154</v>
      </c>
      <c r="B18" s="59" t="s">
        <v>84</v>
      </c>
      <c r="C18" s="59" t="s">
        <v>83</v>
      </c>
      <c r="D18" s="59" t="s">
        <v>43</v>
      </c>
      <c r="E18" s="59">
        <v>27</v>
      </c>
      <c r="F18" s="59" t="s">
        <v>69</v>
      </c>
      <c r="G18" s="59">
        <v>1</v>
      </c>
      <c r="H18" s="59">
        <v>3</v>
      </c>
      <c r="I18" s="59" t="s">
        <v>11</v>
      </c>
      <c r="J18" s="86">
        <v>0.42499999999999999</v>
      </c>
      <c r="K18" s="59">
        <v>3</v>
      </c>
      <c r="L18" s="59" t="s">
        <v>150</v>
      </c>
      <c r="M18" s="59">
        <v>50</v>
      </c>
      <c r="N18" s="59" t="s">
        <v>151</v>
      </c>
      <c r="O18" s="59"/>
    </row>
    <row r="19" spans="1:15" x14ac:dyDescent="0.25">
      <c r="A19" s="59" t="s">
        <v>154</v>
      </c>
      <c r="B19" s="59" t="s">
        <v>81</v>
      </c>
      <c r="C19" s="59" t="s">
        <v>80</v>
      </c>
      <c r="D19" s="59" t="s">
        <v>43</v>
      </c>
      <c r="E19" s="59">
        <v>41</v>
      </c>
      <c r="F19" s="59" t="s">
        <v>82</v>
      </c>
      <c r="G19" s="59">
        <v>1</v>
      </c>
      <c r="H19" s="59">
        <v>4</v>
      </c>
      <c r="I19" s="59" t="s">
        <v>11</v>
      </c>
      <c r="J19" s="86">
        <v>0.42499999999999999</v>
      </c>
      <c r="K19" s="59">
        <v>4</v>
      </c>
      <c r="L19" s="59" t="s">
        <v>150</v>
      </c>
      <c r="M19" s="59">
        <v>0</v>
      </c>
      <c r="N19" s="59" t="s">
        <v>151</v>
      </c>
      <c r="O19" s="59"/>
    </row>
    <row r="20" spans="1:15" x14ac:dyDescent="0.25">
      <c r="A20" s="59" t="s">
        <v>154</v>
      </c>
      <c r="B20" s="59" t="s">
        <v>88</v>
      </c>
      <c r="C20" s="59" t="s">
        <v>87</v>
      </c>
      <c r="D20" s="59" t="s">
        <v>43</v>
      </c>
      <c r="E20" s="59">
        <v>13</v>
      </c>
      <c r="F20" s="59" t="s">
        <v>72</v>
      </c>
      <c r="G20" s="59">
        <v>1</v>
      </c>
      <c r="H20" s="59">
        <v>1</v>
      </c>
      <c r="I20" s="59" t="s">
        <v>12</v>
      </c>
      <c r="J20" s="86">
        <v>0.42569444444444443</v>
      </c>
      <c r="K20" s="59">
        <v>3</v>
      </c>
      <c r="L20" s="59" t="s">
        <v>150</v>
      </c>
      <c r="M20" s="59">
        <v>30</v>
      </c>
      <c r="N20" s="59" t="s">
        <v>151</v>
      </c>
      <c r="O20" s="59"/>
    </row>
    <row r="21" spans="1:15" x14ac:dyDescent="0.25">
      <c r="A21" s="59" t="s">
        <v>154</v>
      </c>
      <c r="B21" s="59" t="s">
        <v>86</v>
      </c>
      <c r="C21" s="59" t="s">
        <v>85</v>
      </c>
      <c r="D21" s="59" t="s">
        <v>43</v>
      </c>
      <c r="E21" s="59">
        <v>34</v>
      </c>
      <c r="F21" s="59" t="s">
        <v>64</v>
      </c>
      <c r="G21" s="59">
        <v>1</v>
      </c>
      <c r="H21" s="59">
        <v>2</v>
      </c>
      <c r="I21" s="59" t="s">
        <v>12</v>
      </c>
      <c r="J21" s="86">
        <v>0.42569444444444443</v>
      </c>
      <c r="K21" s="59">
        <v>3</v>
      </c>
      <c r="L21" s="59" t="s">
        <v>150</v>
      </c>
      <c r="M21" s="59">
        <v>35</v>
      </c>
      <c r="N21" s="59" t="s">
        <v>151</v>
      </c>
      <c r="O21" s="59"/>
    </row>
    <row r="22" spans="1:15" x14ac:dyDescent="0.25">
      <c r="A22" s="59" t="s">
        <v>154</v>
      </c>
      <c r="B22" s="59" t="s">
        <v>84</v>
      </c>
      <c r="C22" s="59" t="s">
        <v>83</v>
      </c>
      <c r="D22" s="59" t="s">
        <v>43</v>
      </c>
      <c r="E22" s="59">
        <v>27</v>
      </c>
      <c r="F22" s="59" t="s">
        <v>69</v>
      </c>
      <c r="G22" s="59">
        <v>1</v>
      </c>
      <c r="H22" s="59">
        <v>3</v>
      </c>
      <c r="I22" s="59" t="s">
        <v>12</v>
      </c>
      <c r="J22" s="86">
        <v>0.42569444444444443</v>
      </c>
      <c r="K22" s="59">
        <v>3</v>
      </c>
      <c r="L22" s="59" t="s">
        <v>150</v>
      </c>
      <c r="M22" s="59">
        <v>50</v>
      </c>
      <c r="N22" s="59" t="s">
        <v>151</v>
      </c>
      <c r="O22" s="59"/>
    </row>
    <row r="23" spans="1:15" x14ac:dyDescent="0.25">
      <c r="A23" s="59" t="s">
        <v>154</v>
      </c>
      <c r="B23" s="59" t="s">
        <v>81</v>
      </c>
      <c r="C23" s="59" t="s">
        <v>80</v>
      </c>
      <c r="D23" s="59" t="s">
        <v>43</v>
      </c>
      <c r="E23" s="59">
        <v>41</v>
      </c>
      <c r="F23" s="59" t="s">
        <v>82</v>
      </c>
      <c r="G23" s="59">
        <v>1</v>
      </c>
      <c r="H23" s="59">
        <v>4</v>
      </c>
      <c r="I23" s="59" t="s">
        <v>12</v>
      </c>
      <c r="J23" s="86">
        <v>0.42569444444444443</v>
      </c>
      <c r="K23" s="59">
        <v>4</v>
      </c>
      <c r="L23" s="59" t="s">
        <v>150</v>
      </c>
      <c r="M23" s="59">
        <v>0</v>
      </c>
      <c r="N23" s="59" t="s">
        <v>151</v>
      </c>
      <c r="O23" s="59"/>
    </row>
    <row r="24" spans="1:15" x14ac:dyDescent="0.25">
      <c r="A24" s="59" t="s">
        <v>154</v>
      </c>
      <c r="B24" s="59" t="s">
        <v>88</v>
      </c>
      <c r="C24" s="59" t="s">
        <v>87</v>
      </c>
      <c r="D24" s="59" t="s">
        <v>43</v>
      </c>
      <c r="E24" s="59">
        <v>13</v>
      </c>
      <c r="F24" s="59" t="s">
        <v>72</v>
      </c>
      <c r="G24" s="59">
        <v>1</v>
      </c>
      <c r="H24" s="59">
        <v>1</v>
      </c>
      <c r="I24" s="59" t="s">
        <v>9</v>
      </c>
      <c r="J24" s="86">
        <v>0.42708333333333331</v>
      </c>
      <c r="K24" s="59">
        <v>3</v>
      </c>
      <c r="L24" s="59" t="s">
        <v>150</v>
      </c>
      <c r="M24" s="59">
        <v>30</v>
      </c>
      <c r="N24" s="59" t="s">
        <v>151</v>
      </c>
      <c r="O24" s="59"/>
    </row>
    <row r="25" spans="1:15" x14ac:dyDescent="0.25">
      <c r="A25" s="59" t="s">
        <v>154</v>
      </c>
      <c r="B25" s="59" t="s">
        <v>86</v>
      </c>
      <c r="C25" s="59" t="s">
        <v>85</v>
      </c>
      <c r="D25" s="59" t="s">
        <v>43</v>
      </c>
      <c r="E25" s="59">
        <v>34</v>
      </c>
      <c r="F25" s="59" t="s">
        <v>64</v>
      </c>
      <c r="G25" s="59">
        <v>1</v>
      </c>
      <c r="H25" s="59">
        <v>2</v>
      </c>
      <c r="I25" s="59" t="s">
        <v>9</v>
      </c>
      <c r="J25" s="86">
        <v>0.42708333333333331</v>
      </c>
      <c r="K25" s="59">
        <v>3</v>
      </c>
      <c r="L25" s="59" t="s">
        <v>150</v>
      </c>
      <c r="M25" s="59">
        <v>35</v>
      </c>
      <c r="N25" s="59" t="s">
        <v>151</v>
      </c>
      <c r="O25" s="59"/>
    </row>
    <row r="26" spans="1:15" x14ac:dyDescent="0.25">
      <c r="A26" s="59" t="s">
        <v>154</v>
      </c>
      <c r="B26" s="59" t="s">
        <v>84</v>
      </c>
      <c r="C26" s="59" t="s">
        <v>83</v>
      </c>
      <c r="D26" s="59" t="s">
        <v>43</v>
      </c>
      <c r="E26" s="59">
        <v>27</v>
      </c>
      <c r="F26" s="59" t="s">
        <v>69</v>
      </c>
      <c r="G26" s="59">
        <v>1</v>
      </c>
      <c r="H26" s="59">
        <v>3</v>
      </c>
      <c r="I26" s="59" t="s">
        <v>9</v>
      </c>
      <c r="J26" s="86">
        <v>0.42708333333333331</v>
      </c>
      <c r="K26" s="59">
        <v>3</v>
      </c>
      <c r="L26" s="59" t="s">
        <v>150</v>
      </c>
      <c r="M26" s="59">
        <v>50</v>
      </c>
      <c r="N26" s="59" t="s">
        <v>151</v>
      </c>
      <c r="O26" s="59"/>
    </row>
    <row r="27" spans="1:15" x14ac:dyDescent="0.25">
      <c r="A27" s="59" t="s">
        <v>154</v>
      </c>
      <c r="B27" s="59" t="s">
        <v>81</v>
      </c>
      <c r="C27" s="59" t="s">
        <v>80</v>
      </c>
      <c r="D27" s="59" t="s">
        <v>43</v>
      </c>
      <c r="E27" s="59">
        <v>41</v>
      </c>
      <c r="F27" s="59" t="s">
        <v>82</v>
      </c>
      <c r="G27" s="59">
        <v>1</v>
      </c>
      <c r="H27" s="59">
        <v>4</v>
      </c>
      <c r="I27" s="59" t="s">
        <v>9</v>
      </c>
      <c r="J27" s="86">
        <v>0.42708333333333331</v>
      </c>
      <c r="K27" s="59">
        <v>4</v>
      </c>
      <c r="L27" s="59" t="s">
        <v>150</v>
      </c>
      <c r="M27" s="59">
        <v>0</v>
      </c>
      <c r="N27" s="59" t="s">
        <v>151</v>
      </c>
      <c r="O27" s="59"/>
    </row>
    <row r="28" spans="1:15" x14ac:dyDescent="0.25">
      <c r="A28" s="59" t="s">
        <v>154</v>
      </c>
      <c r="B28" s="59" t="s">
        <v>58</v>
      </c>
      <c r="C28" s="59" t="s">
        <v>57</v>
      </c>
      <c r="D28" s="59" t="s">
        <v>49</v>
      </c>
      <c r="E28" s="59">
        <v>7</v>
      </c>
      <c r="F28" s="59" t="s">
        <v>59</v>
      </c>
      <c r="G28" s="59">
        <v>4</v>
      </c>
      <c r="H28" s="59">
        <v>1</v>
      </c>
      <c r="I28" s="59" t="s">
        <v>10</v>
      </c>
      <c r="J28" s="86">
        <v>0.43125000000000002</v>
      </c>
      <c r="K28" s="59">
        <v>5</v>
      </c>
      <c r="L28" s="59" t="s">
        <v>150</v>
      </c>
      <c r="M28" s="59">
        <v>0</v>
      </c>
      <c r="N28" s="59" t="s">
        <v>151</v>
      </c>
      <c r="O28" s="59"/>
    </row>
    <row r="29" spans="1:15" x14ac:dyDescent="0.25">
      <c r="A29" s="59" t="s">
        <v>154</v>
      </c>
      <c r="B29" s="59" t="s">
        <v>56</v>
      </c>
      <c r="C29" s="59" t="s">
        <v>55</v>
      </c>
      <c r="D29" s="59" t="s">
        <v>43</v>
      </c>
      <c r="E29" s="59">
        <v>38</v>
      </c>
      <c r="F29" s="59" t="s">
        <v>51</v>
      </c>
      <c r="G29" s="59">
        <v>4</v>
      </c>
      <c r="H29" s="59">
        <v>2</v>
      </c>
      <c r="I29" s="59" t="s">
        <v>10</v>
      </c>
      <c r="J29" s="86">
        <v>0.43125000000000002</v>
      </c>
      <c r="K29" s="59">
        <v>5</v>
      </c>
      <c r="L29" s="59" t="s">
        <v>150</v>
      </c>
      <c r="M29" s="59">
        <v>30</v>
      </c>
      <c r="N29" s="59" t="s">
        <v>151</v>
      </c>
      <c r="O29" s="59"/>
    </row>
    <row r="30" spans="1:15" x14ac:dyDescent="0.25">
      <c r="A30" s="59" t="s">
        <v>154</v>
      </c>
      <c r="B30" s="59" t="s">
        <v>53</v>
      </c>
      <c r="C30" s="59" t="s">
        <v>52</v>
      </c>
      <c r="D30" s="59" t="s">
        <v>43</v>
      </c>
      <c r="E30" s="59">
        <v>20</v>
      </c>
      <c r="F30" s="59" t="s">
        <v>54</v>
      </c>
      <c r="G30" s="59">
        <v>4</v>
      </c>
      <c r="H30" s="59">
        <v>3</v>
      </c>
      <c r="I30" s="59" t="s">
        <v>10</v>
      </c>
      <c r="J30" s="86">
        <v>0.43125000000000002</v>
      </c>
      <c r="K30" s="59">
        <v>5</v>
      </c>
      <c r="L30" s="59" t="s">
        <v>150</v>
      </c>
      <c r="M30" s="59">
        <v>45</v>
      </c>
      <c r="N30" s="59" t="s">
        <v>151</v>
      </c>
      <c r="O30" s="59"/>
    </row>
    <row r="31" spans="1:15" x14ac:dyDescent="0.25">
      <c r="A31" s="59" t="s">
        <v>154</v>
      </c>
      <c r="B31" s="59" t="s">
        <v>50</v>
      </c>
      <c r="C31" s="59" t="s">
        <v>45</v>
      </c>
      <c r="D31" s="59" t="s">
        <v>43</v>
      </c>
      <c r="E31" s="59">
        <v>37</v>
      </c>
      <c r="F31" s="59" t="s">
        <v>51</v>
      </c>
      <c r="G31" s="59">
        <v>4</v>
      </c>
      <c r="H31" s="59">
        <v>4</v>
      </c>
      <c r="I31" s="59" t="s">
        <v>10</v>
      </c>
      <c r="J31" s="86">
        <v>0.43125000000000002</v>
      </c>
      <c r="K31" s="59">
        <v>6</v>
      </c>
      <c r="L31" s="59" t="s">
        <v>150</v>
      </c>
      <c r="M31" s="59">
        <v>0</v>
      </c>
      <c r="N31" s="59" t="s">
        <v>151</v>
      </c>
      <c r="O31" s="59"/>
    </row>
    <row r="32" spans="1:15" x14ac:dyDescent="0.25">
      <c r="A32" s="59" t="s">
        <v>154</v>
      </c>
      <c r="B32" s="59" t="s">
        <v>79</v>
      </c>
      <c r="C32" s="59" t="s">
        <v>78</v>
      </c>
      <c r="D32" s="59" t="s">
        <v>49</v>
      </c>
      <c r="E32" s="59">
        <v>25</v>
      </c>
      <c r="F32" s="59" t="s">
        <v>77</v>
      </c>
      <c r="G32" s="59">
        <v>2</v>
      </c>
      <c r="H32" s="59">
        <v>1</v>
      </c>
      <c r="I32" s="59" t="s">
        <v>11</v>
      </c>
      <c r="J32" s="86">
        <v>0.43333333333333329</v>
      </c>
      <c r="K32" s="59">
        <v>4</v>
      </c>
      <c r="L32" s="59" t="s">
        <v>150</v>
      </c>
      <c r="M32" s="59">
        <v>10</v>
      </c>
      <c r="N32" s="59" t="s">
        <v>151</v>
      </c>
      <c r="O32" s="59"/>
    </row>
    <row r="33" spans="1:15" x14ac:dyDescent="0.25">
      <c r="A33" s="59" t="s">
        <v>154</v>
      </c>
      <c r="B33" s="59" t="s">
        <v>76</v>
      </c>
      <c r="C33" s="59" t="s">
        <v>75</v>
      </c>
      <c r="D33" s="59" t="s">
        <v>43</v>
      </c>
      <c r="E33" s="59">
        <v>22</v>
      </c>
      <c r="F33" s="59" t="s">
        <v>77</v>
      </c>
      <c r="G33" s="59">
        <v>2</v>
      </c>
      <c r="H33" s="59">
        <v>2</v>
      </c>
      <c r="I33" s="59" t="s">
        <v>11</v>
      </c>
      <c r="J33" s="86">
        <v>0.43333333333333329</v>
      </c>
      <c r="K33" s="59">
        <v>4</v>
      </c>
      <c r="L33" s="59" t="s">
        <v>150</v>
      </c>
      <c r="M33" s="59">
        <v>25</v>
      </c>
      <c r="N33" s="59" t="s">
        <v>151</v>
      </c>
      <c r="O33" s="59"/>
    </row>
    <row r="34" spans="1:15" x14ac:dyDescent="0.25">
      <c r="A34" s="59" t="s">
        <v>154</v>
      </c>
      <c r="B34" s="59" t="s">
        <v>74</v>
      </c>
      <c r="C34" s="59" t="s">
        <v>73</v>
      </c>
      <c r="D34" s="59" t="s">
        <v>43</v>
      </c>
      <c r="E34" s="59">
        <v>10</v>
      </c>
      <c r="F34" s="59" t="s">
        <v>59</v>
      </c>
      <c r="G34" s="59">
        <v>2</v>
      </c>
      <c r="H34" s="59">
        <v>3</v>
      </c>
      <c r="I34" s="59" t="s">
        <v>11</v>
      </c>
      <c r="J34" s="86">
        <v>0.43333333333333329</v>
      </c>
      <c r="K34" s="59">
        <v>4</v>
      </c>
      <c r="L34" s="59" t="s">
        <v>150</v>
      </c>
      <c r="M34" s="59">
        <v>30</v>
      </c>
      <c r="N34" s="59" t="s">
        <v>151</v>
      </c>
      <c r="O34" s="59"/>
    </row>
    <row r="35" spans="1:15" x14ac:dyDescent="0.25">
      <c r="A35" s="59" t="s">
        <v>154</v>
      </c>
      <c r="B35" s="59" t="s">
        <v>71</v>
      </c>
      <c r="C35" s="59" t="s">
        <v>70</v>
      </c>
      <c r="D35" s="59" t="s">
        <v>49</v>
      </c>
      <c r="E35" s="59">
        <v>15</v>
      </c>
      <c r="F35" s="59" t="s">
        <v>72</v>
      </c>
      <c r="G35" s="59">
        <v>2</v>
      </c>
      <c r="H35" s="59">
        <v>4</v>
      </c>
      <c r="I35" s="59" t="s">
        <v>11</v>
      </c>
      <c r="J35" s="86">
        <v>0.43333333333333329</v>
      </c>
      <c r="K35" s="59">
        <v>4</v>
      </c>
      <c r="L35" s="59" t="s">
        <v>150</v>
      </c>
      <c r="M35" s="59">
        <v>30</v>
      </c>
      <c r="N35" s="59" t="s">
        <v>151</v>
      </c>
      <c r="O35" s="59"/>
    </row>
    <row r="36" spans="1:15" x14ac:dyDescent="0.25">
      <c r="A36" s="59" t="s">
        <v>154</v>
      </c>
      <c r="B36" s="59" t="s">
        <v>79</v>
      </c>
      <c r="C36" s="59" t="s">
        <v>78</v>
      </c>
      <c r="D36" s="59" t="s">
        <v>49</v>
      </c>
      <c r="E36" s="59">
        <v>25</v>
      </c>
      <c r="F36" s="59" t="s">
        <v>77</v>
      </c>
      <c r="G36" s="59">
        <v>2</v>
      </c>
      <c r="H36" s="59">
        <v>1</v>
      </c>
      <c r="I36" s="59" t="s">
        <v>12</v>
      </c>
      <c r="J36" s="86">
        <v>0.43402777777777773</v>
      </c>
      <c r="K36" s="59">
        <v>4</v>
      </c>
      <c r="L36" s="59" t="s">
        <v>150</v>
      </c>
      <c r="M36" s="59">
        <v>10</v>
      </c>
      <c r="N36" s="59" t="s">
        <v>151</v>
      </c>
      <c r="O36" s="59"/>
    </row>
    <row r="37" spans="1:15" x14ac:dyDescent="0.25">
      <c r="A37" s="59" t="s">
        <v>154</v>
      </c>
      <c r="B37" s="59" t="s">
        <v>76</v>
      </c>
      <c r="C37" s="59" t="s">
        <v>75</v>
      </c>
      <c r="D37" s="59" t="s">
        <v>43</v>
      </c>
      <c r="E37" s="59">
        <v>22</v>
      </c>
      <c r="F37" s="59" t="s">
        <v>77</v>
      </c>
      <c r="G37" s="59">
        <v>2</v>
      </c>
      <c r="H37" s="59">
        <v>2</v>
      </c>
      <c r="I37" s="59" t="s">
        <v>12</v>
      </c>
      <c r="J37" s="86">
        <v>0.43402777777777773</v>
      </c>
      <c r="K37" s="59">
        <v>4</v>
      </c>
      <c r="L37" s="59" t="s">
        <v>150</v>
      </c>
      <c r="M37" s="59">
        <v>25</v>
      </c>
      <c r="N37" s="59" t="s">
        <v>151</v>
      </c>
      <c r="O37" s="59"/>
    </row>
    <row r="38" spans="1:15" x14ac:dyDescent="0.25">
      <c r="A38" s="59" t="s">
        <v>154</v>
      </c>
      <c r="B38" s="59" t="s">
        <v>74</v>
      </c>
      <c r="C38" s="59" t="s">
        <v>73</v>
      </c>
      <c r="D38" s="59" t="s">
        <v>43</v>
      </c>
      <c r="E38" s="59">
        <v>10</v>
      </c>
      <c r="F38" s="59" t="s">
        <v>59</v>
      </c>
      <c r="G38" s="59">
        <v>2</v>
      </c>
      <c r="H38" s="59">
        <v>3</v>
      </c>
      <c r="I38" s="59" t="s">
        <v>12</v>
      </c>
      <c r="J38" s="86">
        <v>0.43402777777777773</v>
      </c>
      <c r="K38" s="59">
        <v>4</v>
      </c>
      <c r="L38" s="59" t="s">
        <v>150</v>
      </c>
      <c r="M38" s="59">
        <v>30</v>
      </c>
      <c r="N38" s="59" t="s">
        <v>151</v>
      </c>
      <c r="O38" s="59"/>
    </row>
    <row r="39" spans="1:15" x14ac:dyDescent="0.25">
      <c r="A39" s="59" t="s">
        <v>154</v>
      </c>
      <c r="B39" s="59" t="s">
        <v>71</v>
      </c>
      <c r="C39" s="59" t="s">
        <v>70</v>
      </c>
      <c r="D39" s="59" t="s">
        <v>49</v>
      </c>
      <c r="E39" s="59">
        <v>15</v>
      </c>
      <c r="F39" s="59" t="s">
        <v>72</v>
      </c>
      <c r="G39" s="59">
        <v>2</v>
      </c>
      <c r="H39" s="59">
        <v>4</v>
      </c>
      <c r="I39" s="59" t="s">
        <v>12</v>
      </c>
      <c r="J39" s="86">
        <v>0.43402777777777773</v>
      </c>
      <c r="K39" s="59">
        <v>4</v>
      </c>
      <c r="L39" s="59" t="s">
        <v>150</v>
      </c>
      <c r="M39" s="59">
        <v>30</v>
      </c>
      <c r="N39" s="59" t="s">
        <v>151</v>
      </c>
      <c r="O39" s="59"/>
    </row>
    <row r="40" spans="1:15" x14ac:dyDescent="0.25">
      <c r="A40" s="59" t="s">
        <v>154</v>
      </c>
      <c r="B40" s="59" t="s">
        <v>79</v>
      </c>
      <c r="C40" s="59" t="s">
        <v>78</v>
      </c>
      <c r="D40" s="59" t="s">
        <v>49</v>
      </c>
      <c r="E40" s="59">
        <v>25</v>
      </c>
      <c r="F40" s="59" t="s">
        <v>77</v>
      </c>
      <c r="G40" s="59">
        <v>2</v>
      </c>
      <c r="H40" s="59">
        <v>1</v>
      </c>
      <c r="I40" s="59" t="s">
        <v>9</v>
      </c>
      <c r="J40" s="86">
        <v>0.43541666666666662</v>
      </c>
      <c r="K40" s="59">
        <v>4</v>
      </c>
      <c r="L40" s="59" t="s">
        <v>150</v>
      </c>
      <c r="M40" s="59">
        <v>10</v>
      </c>
      <c r="N40" s="59" t="s">
        <v>151</v>
      </c>
      <c r="O40" s="59"/>
    </row>
    <row r="41" spans="1:15" x14ac:dyDescent="0.25">
      <c r="A41" s="59" t="s">
        <v>154</v>
      </c>
      <c r="B41" s="59" t="s">
        <v>76</v>
      </c>
      <c r="C41" s="59" t="s">
        <v>75</v>
      </c>
      <c r="D41" s="59" t="s">
        <v>43</v>
      </c>
      <c r="E41" s="59">
        <v>22</v>
      </c>
      <c r="F41" s="59" t="s">
        <v>77</v>
      </c>
      <c r="G41" s="59">
        <v>2</v>
      </c>
      <c r="H41" s="59">
        <v>2</v>
      </c>
      <c r="I41" s="59" t="s">
        <v>9</v>
      </c>
      <c r="J41" s="86">
        <v>0.43541666666666662</v>
      </c>
      <c r="K41" s="59">
        <v>4</v>
      </c>
      <c r="L41" s="59" t="s">
        <v>150</v>
      </c>
      <c r="M41" s="59">
        <v>25</v>
      </c>
      <c r="N41" s="59" t="s">
        <v>151</v>
      </c>
      <c r="O41" s="59"/>
    </row>
    <row r="42" spans="1:15" x14ac:dyDescent="0.25">
      <c r="A42" s="59" t="s">
        <v>154</v>
      </c>
      <c r="B42" s="59" t="s">
        <v>74</v>
      </c>
      <c r="C42" s="59" t="s">
        <v>73</v>
      </c>
      <c r="D42" s="59" t="s">
        <v>43</v>
      </c>
      <c r="E42" s="59">
        <v>10</v>
      </c>
      <c r="F42" s="59" t="s">
        <v>59</v>
      </c>
      <c r="G42" s="59">
        <v>2</v>
      </c>
      <c r="H42" s="59">
        <v>3</v>
      </c>
      <c r="I42" s="59" t="s">
        <v>9</v>
      </c>
      <c r="J42" s="86">
        <v>0.43541666666666662</v>
      </c>
      <c r="K42" s="59">
        <v>4</v>
      </c>
      <c r="L42" s="59" t="s">
        <v>150</v>
      </c>
      <c r="M42" s="59">
        <v>30</v>
      </c>
      <c r="N42" s="59" t="s">
        <v>151</v>
      </c>
      <c r="O42" s="59"/>
    </row>
    <row r="43" spans="1:15" x14ac:dyDescent="0.25">
      <c r="A43" s="59" t="s">
        <v>154</v>
      </c>
      <c r="B43" s="59" t="s">
        <v>71</v>
      </c>
      <c r="C43" s="59" t="s">
        <v>70</v>
      </c>
      <c r="D43" s="59" t="s">
        <v>49</v>
      </c>
      <c r="E43" s="59">
        <v>15</v>
      </c>
      <c r="F43" s="59" t="s">
        <v>72</v>
      </c>
      <c r="G43" s="59">
        <v>2</v>
      </c>
      <c r="H43" s="59">
        <v>4</v>
      </c>
      <c r="I43" s="59" t="s">
        <v>9</v>
      </c>
      <c r="J43" s="86">
        <v>0.43541666666666662</v>
      </c>
      <c r="K43" s="59">
        <v>4</v>
      </c>
      <c r="L43" s="59" t="s">
        <v>150</v>
      </c>
      <c r="M43" s="59">
        <v>30</v>
      </c>
      <c r="N43" s="59" t="s">
        <v>151</v>
      </c>
      <c r="O43" s="59"/>
    </row>
    <row r="44" spans="1:15" x14ac:dyDescent="0.25">
      <c r="A44" s="59" t="s">
        <v>154</v>
      </c>
      <c r="B44" s="59" t="s">
        <v>48</v>
      </c>
      <c r="C44" s="59" t="s">
        <v>47</v>
      </c>
      <c r="D44" s="59" t="s">
        <v>49</v>
      </c>
      <c r="E44" s="59">
        <v>4</v>
      </c>
      <c r="F44" s="59" t="s">
        <v>46</v>
      </c>
      <c r="G44" s="59">
        <v>5</v>
      </c>
      <c r="H44" s="59">
        <v>1</v>
      </c>
      <c r="I44" s="59" t="s">
        <v>10</v>
      </c>
      <c r="J44" s="86">
        <v>0.43958333333333338</v>
      </c>
      <c r="K44" s="59">
        <v>6</v>
      </c>
      <c r="L44" s="59" t="s">
        <v>150</v>
      </c>
      <c r="M44" s="59">
        <v>0</v>
      </c>
      <c r="N44" s="59" t="s">
        <v>151</v>
      </c>
      <c r="O44" s="59"/>
    </row>
    <row r="45" spans="1:15" x14ac:dyDescent="0.25">
      <c r="A45" s="59" t="s">
        <v>154</v>
      </c>
      <c r="B45" s="59" t="s">
        <v>134</v>
      </c>
      <c r="C45" s="59" t="s">
        <v>133</v>
      </c>
      <c r="D45" s="59" t="s">
        <v>43</v>
      </c>
      <c r="E45" s="59">
        <v>1</v>
      </c>
      <c r="F45" s="59" t="s">
        <v>46</v>
      </c>
      <c r="G45" s="59">
        <v>5</v>
      </c>
      <c r="H45" s="59">
        <v>2</v>
      </c>
      <c r="I45" s="59" t="s">
        <v>10</v>
      </c>
      <c r="J45" s="86">
        <v>0.43958333333333338</v>
      </c>
      <c r="K45" s="59">
        <v>6</v>
      </c>
      <c r="L45" s="59" t="s">
        <v>150</v>
      </c>
      <c r="M45" s="59">
        <v>15</v>
      </c>
      <c r="N45" s="59" t="s">
        <v>151</v>
      </c>
      <c r="O45" s="59"/>
    </row>
    <row r="46" spans="1:15" x14ac:dyDescent="0.25">
      <c r="A46" s="59" t="s">
        <v>154</v>
      </c>
      <c r="B46" s="59" t="s">
        <v>136</v>
      </c>
      <c r="C46" s="59" t="s">
        <v>135</v>
      </c>
      <c r="D46" s="59" t="s">
        <v>43</v>
      </c>
      <c r="E46" s="59">
        <v>42</v>
      </c>
      <c r="F46" s="59" t="s">
        <v>44</v>
      </c>
      <c r="G46" s="59">
        <v>5</v>
      </c>
      <c r="H46" s="59">
        <v>3</v>
      </c>
      <c r="I46" s="59" t="s">
        <v>10</v>
      </c>
      <c r="J46" s="86">
        <v>0.43958333333333338</v>
      </c>
      <c r="K46" s="59">
        <v>6</v>
      </c>
      <c r="L46" s="59" t="s">
        <v>150</v>
      </c>
      <c r="M46" s="59">
        <v>30</v>
      </c>
      <c r="N46" s="59" t="s">
        <v>151</v>
      </c>
      <c r="O46" s="59"/>
    </row>
    <row r="47" spans="1:15" x14ac:dyDescent="0.25">
      <c r="A47" s="59" t="s">
        <v>154</v>
      </c>
      <c r="B47" s="59" t="s">
        <v>68</v>
      </c>
      <c r="C47" s="59" t="s">
        <v>67</v>
      </c>
      <c r="D47" s="59" t="s">
        <v>43</v>
      </c>
      <c r="E47" s="59">
        <v>29</v>
      </c>
      <c r="F47" s="59" t="s">
        <v>69</v>
      </c>
      <c r="G47" s="59">
        <v>3</v>
      </c>
      <c r="H47" s="59">
        <v>1</v>
      </c>
      <c r="I47" s="59" t="s">
        <v>11</v>
      </c>
      <c r="J47" s="86">
        <v>0.44166666666666671</v>
      </c>
      <c r="K47" s="59">
        <v>4</v>
      </c>
      <c r="L47" s="59" t="s">
        <v>150</v>
      </c>
      <c r="M47" s="59">
        <v>30</v>
      </c>
      <c r="N47" s="59" t="s">
        <v>151</v>
      </c>
      <c r="O47" s="59"/>
    </row>
    <row r="48" spans="1:15" x14ac:dyDescent="0.25">
      <c r="A48" s="59" t="s">
        <v>154</v>
      </c>
      <c r="B48" s="59" t="s">
        <v>66</v>
      </c>
      <c r="C48" s="59" t="s">
        <v>65</v>
      </c>
      <c r="D48" s="59" t="s">
        <v>49</v>
      </c>
      <c r="E48" s="59">
        <v>46</v>
      </c>
      <c r="F48" s="59" t="s">
        <v>44</v>
      </c>
      <c r="G48" s="59">
        <v>3</v>
      </c>
      <c r="H48" s="59">
        <v>2</v>
      </c>
      <c r="I48" s="59" t="s">
        <v>11</v>
      </c>
      <c r="J48" s="86">
        <v>0.44166666666666671</v>
      </c>
      <c r="K48" s="59">
        <v>4</v>
      </c>
      <c r="L48" s="59" t="s">
        <v>150</v>
      </c>
      <c r="M48" s="59">
        <v>45</v>
      </c>
      <c r="N48" s="59" t="s">
        <v>151</v>
      </c>
      <c r="O48" s="59"/>
    </row>
    <row r="49" spans="1:15" x14ac:dyDescent="0.25">
      <c r="A49" s="59" t="s">
        <v>154</v>
      </c>
      <c r="B49" s="59" t="s">
        <v>61</v>
      </c>
      <c r="C49" s="59" t="s">
        <v>60</v>
      </c>
      <c r="D49" s="59" t="s">
        <v>43</v>
      </c>
      <c r="E49" s="59">
        <v>19</v>
      </c>
      <c r="F49" s="59" t="s">
        <v>54</v>
      </c>
      <c r="G49" s="59">
        <v>3</v>
      </c>
      <c r="H49" s="59">
        <v>3</v>
      </c>
      <c r="I49" s="59" t="s">
        <v>11</v>
      </c>
      <c r="J49" s="86">
        <v>0.44166666666666671</v>
      </c>
      <c r="K49" s="59">
        <v>5</v>
      </c>
      <c r="L49" s="59" t="s">
        <v>150</v>
      </c>
      <c r="M49" s="59">
        <v>0</v>
      </c>
      <c r="N49" s="59" t="s">
        <v>151</v>
      </c>
      <c r="O49" s="59"/>
    </row>
    <row r="50" spans="1:15" x14ac:dyDescent="0.25">
      <c r="A50" s="59" t="s">
        <v>154</v>
      </c>
      <c r="B50" s="59" t="s">
        <v>63</v>
      </c>
      <c r="C50" s="59" t="s">
        <v>62</v>
      </c>
      <c r="D50" s="59" t="s">
        <v>43</v>
      </c>
      <c r="E50" s="59">
        <v>31</v>
      </c>
      <c r="F50" s="59" t="s">
        <v>64</v>
      </c>
      <c r="G50" s="59">
        <v>3</v>
      </c>
      <c r="H50" s="59">
        <v>4</v>
      </c>
      <c r="I50" s="59" t="s">
        <v>11</v>
      </c>
      <c r="J50" s="86">
        <v>0.44166666666666671</v>
      </c>
      <c r="K50" s="59">
        <v>5</v>
      </c>
      <c r="L50" s="59" t="s">
        <v>150</v>
      </c>
      <c r="M50" s="59">
        <v>0</v>
      </c>
      <c r="N50" s="59" t="s">
        <v>151</v>
      </c>
      <c r="O50" s="59"/>
    </row>
    <row r="51" spans="1:15" x14ac:dyDescent="0.25">
      <c r="A51" s="59" t="s">
        <v>154</v>
      </c>
      <c r="B51" s="59" t="s">
        <v>68</v>
      </c>
      <c r="C51" s="59" t="s">
        <v>67</v>
      </c>
      <c r="D51" s="59" t="s">
        <v>43</v>
      </c>
      <c r="E51" s="59">
        <v>29</v>
      </c>
      <c r="F51" s="59" t="s">
        <v>69</v>
      </c>
      <c r="G51" s="59">
        <v>3</v>
      </c>
      <c r="H51" s="59">
        <v>1</v>
      </c>
      <c r="I51" s="59" t="s">
        <v>12</v>
      </c>
      <c r="J51" s="86">
        <v>0.44236111111111115</v>
      </c>
      <c r="K51" s="59">
        <v>4</v>
      </c>
      <c r="L51" s="59" t="s">
        <v>150</v>
      </c>
      <c r="M51" s="59">
        <v>30</v>
      </c>
      <c r="N51" s="59" t="s">
        <v>151</v>
      </c>
      <c r="O51" s="59"/>
    </row>
    <row r="52" spans="1:15" x14ac:dyDescent="0.25">
      <c r="A52" s="59" t="s">
        <v>154</v>
      </c>
      <c r="B52" s="59" t="s">
        <v>66</v>
      </c>
      <c r="C52" s="59" t="s">
        <v>65</v>
      </c>
      <c r="D52" s="59" t="s">
        <v>49</v>
      </c>
      <c r="E52" s="59">
        <v>46</v>
      </c>
      <c r="F52" s="59" t="s">
        <v>44</v>
      </c>
      <c r="G52" s="59">
        <v>3</v>
      </c>
      <c r="H52" s="59">
        <v>2</v>
      </c>
      <c r="I52" s="59" t="s">
        <v>12</v>
      </c>
      <c r="J52" s="86">
        <v>0.44236111111111115</v>
      </c>
      <c r="K52" s="59">
        <v>4</v>
      </c>
      <c r="L52" s="59" t="s">
        <v>150</v>
      </c>
      <c r="M52" s="59">
        <v>45</v>
      </c>
      <c r="N52" s="59" t="s">
        <v>151</v>
      </c>
      <c r="O52" s="59"/>
    </row>
    <row r="53" spans="1:15" x14ac:dyDescent="0.25">
      <c r="A53" s="59" t="s">
        <v>154</v>
      </c>
      <c r="B53" s="59" t="s">
        <v>61</v>
      </c>
      <c r="C53" s="59" t="s">
        <v>60</v>
      </c>
      <c r="D53" s="59" t="s">
        <v>43</v>
      </c>
      <c r="E53" s="59">
        <v>19</v>
      </c>
      <c r="F53" s="59" t="s">
        <v>54</v>
      </c>
      <c r="G53" s="59">
        <v>3</v>
      </c>
      <c r="H53" s="59">
        <v>3</v>
      </c>
      <c r="I53" s="59" t="s">
        <v>12</v>
      </c>
      <c r="J53" s="86">
        <v>0.44236111111111115</v>
      </c>
      <c r="K53" s="59">
        <v>5</v>
      </c>
      <c r="L53" s="59" t="s">
        <v>150</v>
      </c>
      <c r="M53" s="59">
        <v>0</v>
      </c>
      <c r="N53" s="59" t="s">
        <v>151</v>
      </c>
      <c r="O53" s="59"/>
    </row>
    <row r="54" spans="1:15" x14ac:dyDescent="0.25">
      <c r="A54" s="59" t="s">
        <v>154</v>
      </c>
      <c r="B54" s="59" t="s">
        <v>63</v>
      </c>
      <c r="C54" s="59" t="s">
        <v>62</v>
      </c>
      <c r="D54" s="59" t="s">
        <v>43</v>
      </c>
      <c r="E54" s="59">
        <v>31</v>
      </c>
      <c r="F54" s="59" t="s">
        <v>64</v>
      </c>
      <c r="G54" s="59">
        <v>3</v>
      </c>
      <c r="H54" s="59">
        <v>4</v>
      </c>
      <c r="I54" s="59" t="s">
        <v>12</v>
      </c>
      <c r="J54" s="86">
        <v>0.44236111111111115</v>
      </c>
      <c r="K54" s="59">
        <v>5</v>
      </c>
      <c r="L54" s="59" t="s">
        <v>150</v>
      </c>
      <c r="M54" s="59">
        <v>0</v>
      </c>
      <c r="N54" s="59" t="s">
        <v>151</v>
      </c>
      <c r="O54" s="59"/>
    </row>
    <row r="55" spans="1:15" x14ac:dyDescent="0.25">
      <c r="A55" s="59" t="s">
        <v>154</v>
      </c>
      <c r="B55" s="59" t="s">
        <v>68</v>
      </c>
      <c r="C55" s="59" t="s">
        <v>67</v>
      </c>
      <c r="D55" s="59" t="s">
        <v>43</v>
      </c>
      <c r="E55" s="59">
        <v>29</v>
      </c>
      <c r="F55" s="59" t="s">
        <v>69</v>
      </c>
      <c r="G55" s="59">
        <v>3</v>
      </c>
      <c r="H55" s="59">
        <v>1</v>
      </c>
      <c r="I55" s="59" t="s">
        <v>9</v>
      </c>
      <c r="J55" s="86">
        <v>0.44375000000000003</v>
      </c>
      <c r="K55" s="59">
        <v>4</v>
      </c>
      <c r="L55" s="59" t="s">
        <v>150</v>
      </c>
      <c r="M55" s="59">
        <v>30</v>
      </c>
      <c r="N55" s="59" t="s">
        <v>151</v>
      </c>
      <c r="O55" s="59"/>
    </row>
    <row r="56" spans="1:15" x14ac:dyDescent="0.25">
      <c r="A56" s="59" t="s">
        <v>154</v>
      </c>
      <c r="B56" s="59" t="s">
        <v>66</v>
      </c>
      <c r="C56" s="59" t="s">
        <v>65</v>
      </c>
      <c r="D56" s="59" t="s">
        <v>49</v>
      </c>
      <c r="E56" s="59">
        <v>46</v>
      </c>
      <c r="F56" s="59" t="s">
        <v>44</v>
      </c>
      <c r="G56" s="59">
        <v>3</v>
      </c>
      <c r="H56" s="59">
        <v>2</v>
      </c>
      <c r="I56" s="59" t="s">
        <v>9</v>
      </c>
      <c r="J56" s="86">
        <v>0.44375000000000003</v>
      </c>
      <c r="K56" s="59">
        <v>4</v>
      </c>
      <c r="L56" s="59" t="s">
        <v>150</v>
      </c>
      <c r="M56" s="59">
        <v>45</v>
      </c>
      <c r="N56" s="59" t="s">
        <v>151</v>
      </c>
      <c r="O56" s="59"/>
    </row>
    <row r="57" spans="1:15" x14ac:dyDescent="0.25">
      <c r="A57" s="59" t="s">
        <v>154</v>
      </c>
      <c r="B57" s="59" t="s">
        <v>61</v>
      </c>
      <c r="C57" s="59" t="s">
        <v>60</v>
      </c>
      <c r="D57" s="59" t="s">
        <v>43</v>
      </c>
      <c r="E57" s="59">
        <v>19</v>
      </c>
      <c r="F57" s="59" t="s">
        <v>54</v>
      </c>
      <c r="G57" s="59">
        <v>3</v>
      </c>
      <c r="H57" s="59">
        <v>3</v>
      </c>
      <c r="I57" s="59" t="s">
        <v>9</v>
      </c>
      <c r="J57" s="86">
        <v>0.44375000000000003</v>
      </c>
      <c r="K57" s="59">
        <v>5</v>
      </c>
      <c r="L57" s="59" t="s">
        <v>150</v>
      </c>
      <c r="M57" s="59">
        <v>0</v>
      </c>
      <c r="N57" s="59" t="s">
        <v>151</v>
      </c>
      <c r="O57" s="59"/>
    </row>
    <row r="58" spans="1:15" x14ac:dyDescent="0.25">
      <c r="A58" s="59" t="s">
        <v>154</v>
      </c>
      <c r="B58" s="59" t="s">
        <v>63</v>
      </c>
      <c r="C58" s="59" t="s">
        <v>62</v>
      </c>
      <c r="D58" s="59" t="s">
        <v>43</v>
      </c>
      <c r="E58" s="59">
        <v>31</v>
      </c>
      <c r="F58" s="59" t="s">
        <v>64</v>
      </c>
      <c r="G58" s="59">
        <v>3</v>
      </c>
      <c r="H58" s="59">
        <v>4</v>
      </c>
      <c r="I58" s="59" t="s">
        <v>9</v>
      </c>
      <c r="J58" s="86">
        <v>0.44375000000000003</v>
      </c>
      <c r="K58" s="59">
        <v>5</v>
      </c>
      <c r="L58" s="59" t="s">
        <v>150</v>
      </c>
      <c r="M58" s="59">
        <v>0</v>
      </c>
      <c r="N58" s="59" t="s">
        <v>151</v>
      </c>
      <c r="O58" s="59"/>
    </row>
    <row r="59" spans="1:15" x14ac:dyDescent="0.25">
      <c r="A59" s="59" t="s">
        <v>154</v>
      </c>
      <c r="B59" s="59" t="s">
        <v>58</v>
      </c>
      <c r="C59" s="59" t="s">
        <v>57</v>
      </c>
      <c r="D59" s="59" t="s">
        <v>49</v>
      </c>
      <c r="E59" s="59">
        <v>7</v>
      </c>
      <c r="F59" s="59" t="s">
        <v>59</v>
      </c>
      <c r="G59" s="59">
        <v>4</v>
      </c>
      <c r="H59" s="59">
        <v>1</v>
      </c>
      <c r="I59" s="59" t="s">
        <v>11</v>
      </c>
      <c r="J59" s="86">
        <v>0.45</v>
      </c>
      <c r="K59" s="59">
        <v>5</v>
      </c>
      <c r="L59" s="59" t="s">
        <v>150</v>
      </c>
      <c r="M59" s="59">
        <v>0</v>
      </c>
      <c r="N59" s="59" t="s">
        <v>151</v>
      </c>
      <c r="O59" s="59"/>
    </row>
    <row r="60" spans="1:15" x14ac:dyDescent="0.25">
      <c r="A60" s="59" t="s">
        <v>154</v>
      </c>
      <c r="B60" s="59" t="s">
        <v>56</v>
      </c>
      <c r="C60" s="59" t="s">
        <v>55</v>
      </c>
      <c r="D60" s="59" t="s">
        <v>43</v>
      </c>
      <c r="E60" s="59">
        <v>38</v>
      </c>
      <c r="F60" s="59" t="s">
        <v>51</v>
      </c>
      <c r="G60" s="59">
        <v>4</v>
      </c>
      <c r="H60" s="59">
        <v>2</v>
      </c>
      <c r="I60" s="59" t="s">
        <v>11</v>
      </c>
      <c r="J60" s="86">
        <v>0.45</v>
      </c>
      <c r="K60" s="59">
        <v>5</v>
      </c>
      <c r="L60" s="59" t="s">
        <v>150</v>
      </c>
      <c r="M60" s="59">
        <v>30</v>
      </c>
      <c r="N60" s="59" t="s">
        <v>151</v>
      </c>
      <c r="O60" s="59"/>
    </row>
    <row r="61" spans="1:15" x14ac:dyDescent="0.25">
      <c r="A61" s="59" t="s">
        <v>154</v>
      </c>
      <c r="B61" s="59" t="s">
        <v>53</v>
      </c>
      <c r="C61" s="59" t="s">
        <v>52</v>
      </c>
      <c r="D61" s="59" t="s">
        <v>43</v>
      </c>
      <c r="E61" s="59">
        <v>20</v>
      </c>
      <c r="F61" s="59" t="s">
        <v>54</v>
      </c>
      <c r="G61" s="59">
        <v>4</v>
      </c>
      <c r="H61" s="59">
        <v>3</v>
      </c>
      <c r="I61" s="59" t="s">
        <v>11</v>
      </c>
      <c r="J61" s="86">
        <v>0.45</v>
      </c>
      <c r="K61" s="59">
        <v>5</v>
      </c>
      <c r="L61" s="59" t="s">
        <v>150</v>
      </c>
      <c r="M61" s="59">
        <v>45</v>
      </c>
      <c r="N61" s="59" t="s">
        <v>151</v>
      </c>
      <c r="O61" s="59"/>
    </row>
    <row r="62" spans="1:15" x14ac:dyDescent="0.25">
      <c r="A62" s="59" t="s">
        <v>154</v>
      </c>
      <c r="B62" s="59" t="s">
        <v>50</v>
      </c>
      <c r="C62" s="59" t="s">
        <v>45</v>
      </c>
      <c r="D62" s="59" t="s">
        <v>43</v>
      </c>
      <c r="E62" s="59">
        <v>37</v>
      </c>
      <c r="F62" s="59" t="s">
        <v>51</v>
      </c>
      <c r="G62" s="59">
        <v>4</v>
      </c>
      <c r="H62" s="59">
        <v>4</v>
      </c>
      <c r="I62" s="59" t="s">
        <v>11</v>
      </c>
      <c r="J62" s="86">
        <v>0.45</v>
      </c>
      <c r="K62" s="59">
        <v>6</v>
      </c>
      <c r="L62" s="59" t="s">
        <v>150</v>
      </c>
      <c r="M62" s="59">
        <v>0</v>
      </c>
      <c r="N62" s="59" t="s">
        <v>151</v>
      </c>
      <c r="O62" s="59"/>
    </row>
    <row r="63" spans="1:15" x14ac:dyDescent="0.25">
      <c r="A63" s="59" t="s">
        <v>154</v>
      </c>
      <c r="B63" s="59" t="s">
        <v>58</v>
      </c>
      <c r="C63" s="59" t="s">
        <v>57</v>
      </c>
      <c r="D63" s="59" t="s">
        <v>49</v>
      </c>
      <c r="E63" s="59">
        <v>7</v>
      </c>
      <c r="F63" s="59" t="s">
        <v>59</v>
      </c>
      <c r="G63" s="59">
        <v>4</v>
      </c>
      <c r="H63" s="59">
        <v>1</v>
      </c>
      <c r="I63" s="59" t="s">
        <v>12</v>
      </c>
      <c r="J63" s="86">
        <v>0.45069444444444445</v>
      </c>
      <c r="K63" s="59">
        <v>5</v>
      </c>
      <c r="L63" s="59" t="s">
        <v>150</v>
      </c>
      <c r="M63" s="59">
        <v>0</v>
      </c>
      <c r="N63" s="59" t="s">
        <v>151</v>
      </c>
      <c r="O63" s="59"/>
    </row>
    <row r="64" spans="1:15" x14ac:dyDescent="0.25">
      <c r="A64" s="59" t="s">
        <v>154</v>
      </c>
      <c r="B64" s="59" t="s">
        <v>56</v>
      </c>
      <c r="C64" s="59" t="s">
        <v>55</v>
      </c>
      <c r="D64" s="59" t="s">
        <v>43</v>
      </c>
      <c r="E64" s="59">
        <v>38</v>
      </c>
      <c r="F64" s="59" t="s">
        <v>51</v>
      </c>
      <c r="G64" s="59">
        <v>4</v>
      </c>
      <c r="H64" s="59">
        <v>2</v>
      </c>
      <c r="I64" s="59" t="s">
        <v>12</v>
      </c>
      <c r="J64" s="86">
        <v>0.45069444444444445</v>
      </c>
      <c r="K64" s="59">
        <v>5</v>
      </c>
      <c r="L64" s="59" t="s">
        <v>150</v>
      </c>
      <c r="M64" s="59">
        <v>30</v>
      </c>
      <c r="N64" s="59" t="s">
        <v>151</v>
      </c>
      <c r="O64" s="59"/>
    </row>
    <row r="65" spans="1:15" x14ac:dyDescent="0.25">
      <c r="A65" s="59" t="s">
        <v>154</v>
      </c>
      <c r="B65" s="59" t="s">
        <v>53</v>
      </c>
      <c r="C65" s="59" t="s">
        <v>52</v>
      </c>
      <c r="D65" s="59" t="s">
        <v>43</v>
      </c>
      <c r="E65" s="59">
        <v>20</v>
      </c>
      <c r="F65" s="59" t="s">
        <v>54</v>
      </c>
      <c r="G65" s="59">
        <v>4</v>
      </c>
      <c r="H65" s="59">
        <v>3</v>
      </c>
      <c r="I65" s="59" t="s">
        <v>12</v>
      </c>
      <c r="J65" s="86">
        <v>0.45069444444444445</v>
      </c>
      <c r="K65" s="59">
        <v>5</v>
      </c>
      <c r="L65" s="59" t="s">
        <v>150</v>
      </c>
      <c r="M65" s="59">
        <v>45</v>
      </c>
      <c r="N65" s="59" t="s">
        <v>151</v>
      </c>
      <c r="O65" s="59"/>
    </row>
    <row r="66" spans="1:15" x14ac:dyDescent="0.25">
      <c r="A66" s="59" t="s">
        <v>154</v>
      </c>
      <c r="B66" s="59" t="s">
        <v>50</v>
      </c>
      <c r="C66" s="59" t="s">
        <v>45</v>
      </c>
      <c r="D66" s="59" t="s">
        <v>43</v>
      </c>
      <c r="E66" s="59">
        <v>37</v>
      </c>
      <c r="F66" s="59" t="s">
        <v>51</v>
      </c>
      <c r="G66" s="59">
        <v>4</v>
      </c>
      <c r="H66" s="59">
        <v>4</v>
      </c>
      <c r="I66" s="59" t="s">
        <v>12</v>
      </c>
      <c r="J66" s="86">
        <v>0.45069444444444445</v>
      </c>
      <c r="K66" s="59">
        <v>6</v>
      </c>
      <c r="L66" s="59" t="s">
        <v>150</v>
      </c>
      <c r="M66" s="59">
        <v>0</v>
      </c>
      <c r="N66" s="59" t="s">
        <v>151</v>
      </c>
      <c r="O66" s="59"/>
    </row>
    <row r="67" spans="1:15" x14ac:dyDescent="0.25">
      <c r="A67" s="59" t="s">
        <v>154</v>
      </c>
      <c r="B67" s="59" t="s">
        <v>58</v>
      </c>
      <c r="C67" s="59" t="s">
        <v>57</v>
      </c>
      <c r="D67" s="59" t="s">
        <v>49</v>
      </c>
      <c r="E67" s="59">
        <v>7</v>
      </c>
      <c r="F67" s="59" t="s">
        <v>59</v>
      </c>
      <c r="G67" s="59">
        <v>4</v>
      </c>
      <c r="H67" s="59">
        <v>1</v>
      </c>
      <c r="I67" s="59" t="s">
        <v>9</v>
      </c>
      <c r="J67" s="86">
        <v>0.45208333333333334</v>
      </c>
      <c r="K67" s="59">
        <v>5</v>
      </c>
      <c r="L67" s="59" t="s">
        <v>150</v>
      </c>
      <c r="M67" s="59">
        <v>0</v>
      </c>
      <c r="N67" s="59" t="s">
        <v>151</v>
      </c>
      <c r="O67" s="59"/>
    </row>
    <row r="68" spans="1:15" x14ac:dyDescent="0.25">
      <c r="A68" s="59" t="s">
        <v>154</v>
      </c>
      <c r="B68" s="59" t="s">
        <v>56</v>
      </c>
      <c r="C68" s="59" t="s">
        <v>55</v>
      </c>
      <c r="D68" s="59" t="s">
        <v>43</v>
      </c>
      <c r="E68" s="59">
        <v>38</v>
      </c>
      <c r="F68" s="59" t="s">
        <v>51</v>
      </c>
      <c r="G68" s="59">
        <v>4</v>
      </c>
      <c r="H68" s="59">
        <v>2</v>
      </c>
      <c r="I68" s="59" t="s">
        <v>9</v>
      </c>
      <c r="J68" s="86">
        <v>0.45208333333333334</v>
      </c>
      <c r="K68" s="59">
        <v>5</v>
      </c>
      <c r="L68" s="59" t="s">
        <v>150</v>
      </c>
      <c r="M68" s="59">
        <v>30</v>
      </c>
      <c r="N68" s="59" t="s">
        <v>151</v>
      </c>
      <c r="O68" s="59"/>
    </row>
    <row r="69" spans="1:15" x14ac:dyDescent="0.25">
      <c r="A69" s="59" t="s">
        <v>154</v>
      </c>
      <c r="B69" s="59" t="s">
        <v>53</v>
      </c>
      <c r="C69" s="59" t="s">
        <v>52</v>
      </c>
      <c r="D69" s="59" t="s">
        <v>43</v>
      </c>
      <c r="E69" s="59">
        <v>20</v>
      </c>
      <c r="F69" s="59" t="s">
        <v>54</v>
      </c>
      <c r="G69" s="59">
        <v>4</v>
      </c>
      <c r="H69" s="59">
        <v>3</v>
      </c>
      <c r="I69" s="59" t="s">
        <v>9</v>
      </c>
      <c r="J69" s="86">
        <v>0.45208333333333334</v>
      </c>
      <c r="K69" s="59">
        <v>5</v>
      </c>
      <c r="L69" s="59" t="s">
        <v>150</v>
      </c>
      <c r="M69" s="59">
        <v>45</v>
      </c>
      <c r="N69" s="59" t="s">
        <v>151</v>
      </c>
      <c r="O69" s="59"/>
    </row>
    <row r="70" spans="1:15" x14ac:dyDescent="0.25">
      <c r="A70" s="59" t="s">
        <v>154</v>
      </c>
      <c r="B70" s="59" t="s">
        <v>50</v>
      </c>
      <c r="C70" s="59" t="s">
        <v>45</v>
      </c>
      <c r="D70" s="59" t="s">
        <v>43</v>
      </c>
      <c r="E70" s="59">
        <v>37</v>
      </c>
      <c r="F70" s="59" t="s">
        <v>51</v>
      </c>
      <c r="G70" s="59">
        <v>4</v>
      </c>
      <c r="H70" s="59">
        <v>4</v>
      </c>
      <c r="I70" s="59" t="s">
        <v>9</v>
      </c>
      <c r="J70" s="86">
        <v>0.45208333333333334</v>
      </c>
      <c r="K70" s="59">
        <v>6</v>
      </c>
      <c r="L70" s="59" t="s">
        <v>150</v>
      </c>
      <c r="M70" s="59">
        <v>0</v>
      </c>
      <c r="N70" s="59" t="s">
        <v>151</v>
      </c>
      <c r="O70" s="59"/>
    </row>
    <row r="71" spans="1:15" x14ac:dyDescent="0.25">
      <c r="A71" s="59" t="s">
        <v>155</v>
      </c>
      <c r="B71" s="59" t="s">
        <v>123</v>
      </c>
      <c r="C71" s="59" t="s">
        <v>122</v>
      </c>
      <c r="D71" s="59" t="s">
        <v>49</v>
      </c>
      <c r="E71" s="59">
        <v>30</v>
      </c>
      <c r="F71" s="59" t="s">
        <v>69</v>
      </c>
      <c r="G71" s="59">
        <v>1</v>
      </c>
      <c r="H71" s="59">
        <v>1</v>
      </c>
      <c r="I71" s="59" t="s">
        <v>10</v>
      </c>
      <c r="J71" s="86">
        <v>0.4548611111111111</v>
      </c>
      <c r="K71" s="59">
        <v>0</v>
      </c>
      <c r="L71" s="59">
        <v>0</v>
      </c>
      <c r="M71" s="59">
        <v>75</v>
      </c>
      <c r="N71" s="59" t="s">
        <v>152</v>
      </c>
      <c r="O71" s="59"/>
    </row>
    <row r="72" spans="1:15" x14ac:dyDescent="0.25">
      <c r="A72" s="59" t="s">
        <v>155</v>
      </c>
      <c r="B72" s="59" t="s">
        <v>121</v>
      </c>
      <c r="C72" s="59" t="s">
        <v>120</v>
      </c>
      <c r="D72" s="59" t="s">
        <v>49</v>
      </c>
      <c r="E72" s="59">
        <v>26</v>
      </c>
      <c r="F72" s="59" t="s">
        <v>69</v>
      </c>
      <c r="G72" s="59">
        <v>1</v>
      </c>
      <c r="H72" s="59">
        <v>2</v>
      </c>
      <c r="I72" s="59" t="s">
        <v>10</v>
      </c>
      <c r="J72" s="86">
        <v>0.4548611111111111</v>
      </c>
      <c r="K72" s="59">
        <v>0</v>
      </c>
      <c r="L72" s="59">
        <v>0</v>
      </c>
      <c r="M72" s="59">
        <v>80</v>
      </c>
      <c r="N72" s="59" t="s">
        <v>152</v>
      </c>
      <c r="O72" s="59"/>
    </row>
    <row r="73" spans="1:15" x14ac:dyDescent="0.25">
      <c r="A73" s="59" t="s">
        <v>154</v>
      </c>
      <c r="B73" s="59" t="s">
        <v>48</v>
      </c>
      <c r="C73" s="59" t="s">
        <v>47</v>
      </c>
      <c r="D73" s="59" t="s">
        <v>49</v>
      </c>
      <c r="E73" s="59">
        <v>4</v>
      </c>
      <c r="F73" s="59" t="s">
        <v>46</v>
      </c>
      <c r="G73" s="59">
        <v>5</v>
      </c>
      <c r="H73" s="59">
        <v>1</v>
      </c>
      <c r="I73" s="59" t="s">
        <v>11</v>
      </c>
      <c r="J73" s="86">
        <v>0.45833333333333337</v>
      </c>
      <c r="K73" s="59">
        <v>6</v>
      </c>
      <c r="L73" s="59" t="s">
        <v>150</v>
      </c>
      <c r="M73" s="59">
        <v>0</v>
      </c>
      <c r="N73" s="59" t="s">
        <v>151</v>
      </c>
      <c r="O73" s="59"/>
    </row>
    <row r="74" spans="1:15" x14ac:dyDescent="0.25">
      <c r="A74" s="59" t="s">
        <v>154</v>
      </c>
      <c r="B74" s="59" t="s">
        <v>134</v>
      </c>
      <c r="C74" s="59" t="s">
        <v>133</v>
      </c>
      <c r="D74" s="59" t="s">
        <v>43</v>
      </c>
      <c r="E74" s="59">
        <v>1</v>
      </c>
      <c r="F74" s="59" t="s">
        <v>46</v>
      </c>
      <c r="G74" s="59">
        <v>5</v>
      </c>
      <c r="H74" s="59">
        <v>2</v>
      </c>
      <c r="I74" s="59" t="s">
        <v>11</v>
      </c>
      <c r="J74" s="86">
        <v>0.45833333333333337</v>
      </c>
      <c r="K74" s="59">
        <v>6</v>
      </c>
      <c r="L74" s="59" t="s">
        <v>150</v>
      </c>
      <c r="M74" s="59">
        <v>15</v>
      </c>
      <c r="N74" s="59" t="s">
        <v>151</v>
      </c>
      <c r="O74" s="59"/>
    </row>
    <row r="75" spans="1:15" x14ac:dyDescent="0.25">
      <c r="A75" s="59" t="s">
        <v>154</v>
      </c>
      <c r="B75" s="59" t="s">
        <v>136</v>
      </c>
      <c r="C75" s="59" t="s">
        <v>135</v>
      </c>
      <c r="D75" s="59" t="s">
        <v>43</v>
      </c>
      <c r="E75" s="59">
        <v>42</v>
      </c>
      <c r="F75" s="59" t="s">
        <v>44</v>
      </c>
      <c r="G75" s="59">
        <v>5</v>
      </c>
      <c r="H75" s="59">
        <v>3</v>
      </c>
      <c r="I75" s="59" t="s">
        <v>11</v>
      </c>
      <c r="J75" s="86">
        <v>0.45833333333333337</v>
      </c>
      <c r="K75" s="59">
        <v>6</v>
      </c>
      <c r="L75" s="59" t="s">
        <v>150</v>
      </c>
      <c r="M75" s="59">
        <v>30</v>
      </c>
      <c r="N75" s="59" t="s">
        <v>151</v>
      </c>
      <c r="O75" s="59"/>
    </row>
    <row r="76" spans="1:15" x14ac:dyDescent="0.25">
      <c r="A76" s="59" t="s">
        <v>154</v>
      </c>
      <c r="B76" s="59" t="s">
        <v>48</v>
      </c>
      <c r="C76" s="59" t="s">
        <v>47</v>
      </c>
      <c r="D76" s="59" t="s">
        <v>49</v>
      </c>
      <c r="E76" s="59">
        <v>4</v>
      </c>
      <c r="F76" s="59" t="s">
        <v>46</v>
      </c>
      <c r="G76" s="59">
        <v>5</v>
      </c>
      <c r="H76" s="59">
        <v>1</v>
      </c>
      <c r="I76" s="59" t="s">
        <v>12</v>
      </c>
      <c r="J76" s="86">
        <v>0.45902777777777781</v>
      </c>
      <c r="K76" s="59">
        <v>6</v>
      </c>
      <c r="L76" s="59" t="s">
        <v>150</v>
      </c>
      <c r="M76" s="59">
        <v>0</v>
      </c>
      <c r="N76" s="59" t="s">
        <v>151</v>
      </c>
      <c r="O76" s="59"/>
    </row>
    <row r="77" spans="1:15" x14ac:dyDescent="0.25">
      <c r="A77" s="59" t="s">
        <v>154</v>
      </c>
      <c r="B77" s="59" t="s">
        <v>134</v>
      </c>
      <c r="C77" s="59" t="s">
        <v>133</v>
      </c>
      <c r="D77" s="59" t="s">
        <v>43</v>
      </c>
      <c r="E77" s="59">
        <v>1</v>
      </c>
      <c r="F77" s="59" t="s">
        <v>46</v>
      </c>
      <c r="G77" s="59">
        <v>5</v>
      </c>
      <c r="H77" s="59">
        <v>2</v>
      </c>
      <c r="I77" s="59" t="s">
        <v>12</v>
      </c>
      <c r="J77" s="86">
        <v>0.45902777777777781</v>
      </c>
      <c r="K77" s="59">
        <v>6</v>
      </c>
      <c r="L77" s="59" t="s">
        <v>150</v>
      </c>
      <c r="M77" s="59">
        <v>15</v>
      </c>
      <c r="N77" s="59" t="s">
        <v>151</v>
      </c>
      <c r="O77" s="59"/>
    </row>
    <row r="78" spans="1:15" x14ac:dyDescent="0.25">
      <c r="A78" s="59" t="s">
        <v>154</v>
      </c>
      <c r="B78" s="59" t="s">
        <v>136</v>
      </c>
      <c r="C78" s="59" t="s">
        <v>135</v>
      </c>
      <c r="D78" s="59" t="s">
        <v>43</v>
      </c>
      <c r="E78" s="59">
        <v>42</v>
      </c>
      <c r="F78" s="59" t="s">
        <v>44</v>
      </c>
      <c r="G78" s="59">
        <v>5</v>
      </c>
      <c r="H78" s="59">
        <v>3</v>
      </c>
      <c r="I78" s="59" t="s">
        <v>12</v>
      </c>
      <c r="J78" s="86">
        <v>0.45902777777777781</v>
      </c>
      <c r="K78" s="59">
        <v>6</v>
      </c>
      <c r="L78" s="59" t="s">
        <v>150</v>
      </c>
      <c r="M78" s="59">
        <v>30</v>
      </c>
      <c r="N78" s="59" t="s">
        <v>151</v>
      </c>
      <c r="O78" s="59"/>
    </row>
    <row r="79" spans="1:15" x14ac:dyDescent="0.25">
      <c r="A79" s="59" t="s">
        <v>155</v>
      </c>
      <c r="B79" s="59" t="s">
        <v>115</v>
      </c>
      <c r="C79" s="59" t="s">
        <v>114</v>
      </c>
      <c r="D79" s="59" t="s">
        <v>49</v>
      </c>
      <c r="E79" s="59">
        <v>33</v>
      </c>
      <c r="F79" s="59" t="s">
        <v>64</v>
      </c>
      <c r="G79" s="59">
        <v>2</v>
      </c>
      <c r="H79" s="59">
        <v>1</v>
      </c>
      <c r="I79" s="59" t="s">
        <v>10</v>
      </c>
      <c r="J79" s="86">
        <v>0.45972222222222225</v>
      </c>
      <c r="K79" s="59">
        <v>0</v>
      </c>
      <c r="L79" s="59">
        <v>0</v>
      </c>
      <c r="M79" s="59">
        <v>100</v>
      </c>
      <c r="N79" s="59" t="s">
        <v>152</v>
      </c>
      <c r="O79" s="59"/>
    </row>
    <row r="80" spans="1:15" x14ac:dyDescent="0.25">
      <c r="A80" s="59" t="s">
        <v>155</v>
      </c>
      <c r="B80" s="59" t="s">
        <v>119</v>
      </c>
      <c r="C80" s="59" t="s">
        <v>118</v>
      </c>
      <c r="D80" s="59" t="s">
        <v>49</v>
      </c>
      <c r="E80" s="59">
        <v>5</v>
      </c>
      <c r="F80" s="59" t="s">
        <v>46</v>
      </c>
      <c r="G80" s="59">
        <v>2</v>
      </c>
      <c r="H80" s="59">
        <v>2</v>
      </c>
      <c r="I80" s="59" t="s">
        <v>10</v>
      </c>
      <c r="J80" s="86">
        <v>0.45972222222222225</v>
      </c>
      <c r="K80" s="59">
        <v>0</v>
      </c>
      <c r="L80" s="59">
        <v>0</v>
      </c>
      <c r="M80" s="59">
        <v>100</v>
      </c>
      <c r="N80" s="59" t="s">
        <v>152</v>
      </c>
      <c r="O80" s="59"/>
    </row>
    <row r="81" spans="1:15" x14ac:dyDescent="0.25">
      <c r="A81" s="59" t="s">
        <v>154</v>
      </c>
      <c r="B81" s="59" t="s">
        <v>48</v>
      </c>
      <c r="C81" s="59" t="s">
        <v>47</v>
      </c>
      <c r="D81" s="59" t="s">
        <v>49</v>
      </c>
      <c r="E81" s="59">
        <v>4</v>
      </c>
      <c r="F81" s="59" t="s">
        <v>46</v>
      </c>
      <c r="G81" s="59">
        <v>5</v>
      </c>
      <c r="H81" s="59">
        <v>1</v>
      </c>
      <c r="I81" s="59" t="s">
        <v>9</v>
      </c>
      <c r="J81" s="86">
        <v>0.4604166666666667</v>
      </c>
      <c r="K81" s="59">
        <v>6</v>
      </c>
      <c r="L81" s="59" t="s">
        <v>150</v>
      </c>
      <c r="M81" s="59">
        <v>0</v>
      </c>
      <c r="N81" s="59" t="s">
        <v>151</v>
      </c>
      <c r="O81" s="59"/>
    </row>
    <row r="82" spans="1:15" x14ac:dyDescent="0.25">
      <c r="A82" s="59" t="s">
        <v>154</v>
      </c>
      <c r="B82" s="59" t="s">
        <v>134</v>
      </c>
      <c r="C82" s="59" t="s">
        <v>133</v>
      </c>
      <c r="D82" s="59" t="s">
        <v>43</v>
      </c>
      <c r="E82" s="59">
        <v>1</v>
      </c>
      <c r="F82" s="59" t="s">
        <v>46</v>
      </c>
      <c r="G82" s="59">
        <v>5</v>
      </c>
      <c r="H82" s="59">
        <v>2</v>
      </c>
      <c r="I82" s="59" t="s">
        <v>9</v>
      </c>
      <c r="J82" s="86">
        <v>0.4604166666666667</v>
      </c>
      <c r="K82" s="59">
        <v>6</v>
      </c>
      <c r="L82" s="59" t="s">
        <v>150</v>
      </c>
      <c r="M82" s="59">
        <v>15</v>
      </c>
      <c r="N82" s="59" t="s">
        <v>151</v>
      </c>
      <c r="O82" s="59"/>
    </row>
    <row r="83" spans="1:15" x14ac:dyDescent="0.25">
      <c r="A83" s="59" t="s">
        <v>154</v>
      </c>
      <c r="B83" s="59" t="s">
        <v>136</v>
      </c>
      <c r="C83" s="59" t="s">
        <v>135</v>
      </c>
      <c r="D83" s="59" t="s">
        <v>43</v>
      </c>
      <c r="E83" s="59">
        <v>42</v>
      </c>
      <c r="F83" s="59" t="s">
        <v>44</v>
      </c>
      <c r="G83" s="59">
        <v>5</v>
      </c>
      <c r="H83" s="59">
        <v>3</v>
      </c>
      <c r="I83" s="59" t="s">
        <v>9</v>
      </c>
      <c r="J83" s="86">
        <v>0.4604166666666667</v>
      </c>
      <c r="K83" s="59">
        <v>6</v>
      </c>
      <c r="L83" s="59" t="s">
        <v>150</v>
      </c>
      <c r="M83" s="59">
        <v>30</v>
      </c>
      <c r="N83" s="59" t="s">
        <v>151</v>
      </c>
      <c r="O83" s="59"/>
    </row>
    <row r="84" spans="1:15" x14ac:dyDescent="0.25">
      <c r="A84" s="59" t="s">
        <v>155</v>
      </c>
      <c r="B84" s="59" t="s">
        <v>117</v>
      </c>
      <c r="C84" s="59" t="s">
        <v>116</v>
      </c>
      <c r="D84" s="59" t="s">
        <v>43</v>
      </c>
      <c r="E84" s="59">
        <v>6</v>
      </c>
      <c r="F84" s="59" t="s">
        <v>59</v>
      </c>
      <c r="G84" s="59">
        <v>3</v>
      </c>
      <c r="H84" s="59">
        <v>1</v>
      </c>
      <c r="I84" s="59" t="s">
        <v>10</v>
      </c>
      <c r="J84" s="86">
        <v>0.46458333333333335</v>
      </c>
      <c r="K84" s="59">
        <v>0</v>
      </c>
      <c r="L84" s="59">
        <v>0</v>
      </c>
      <c r="M84" s="59">
        <v>100</v>
      </c>
      <c r="N84" s="59" t="s">
        <v>152</v>
      </c>
      <c r="O84" s="59"/>
    </row>
    <row r="85" spans="1:15" x14ac:dyDescent="0.25">
      <c r="A85" s="59" t="s">
        <v>155</v>
      </c>
      <c r="B85" s="59" t="s">
        <v>111</v>
      </c>
      <c r="C85" s="59" t="s">
        <v>110</v>
      </c>
      <c r="D85" s="59" t="s">
        <v>49</v>
      </c>
      <c r="E85" s="59">
        <v>8</v>
      </c>
      <c r="F85" s="59" t="s">
        <v>59</v>
      </c>
      <c r="G85" s="59">
        <v>3</v>
      </c>
      <c r="H85" s="59">
        <v>2</v>
      </c>
      <c r="I85" s="59" t="s">
        <v>10</v>
      </c>
      <c r="J85" s="86">
        <v>0.46458333333333335</v>
      </c>
      <c r="K85" s="59">
        <v>0</v>
      </c>
      <c r="L85" s="59">
        <v>0</v>
      </c>
      <c r="M85" s="59">
        <v>100</v>
      </c>
      <c r="N85" s="59" t="s">
        <v>152</v>
      </c>
      <c r="O85" s="59"/>
    </row>
    <row r="86" spans="1:15" x14ac:dyDescent="0.25">
      <c r="A86" s="59" t="s">
        <v>155</v>
      </c>
      <c r="B86" s="59" t="s">
        <v>113</v>
      </c>
      <c r="C86" s="59" t="s">
        <v>112</v>
      </c>
      <c r="D86" s="59" t="s">
        <v>49</v>
      </c>
      <c r="E86" s="59">
        <v>24</v>
      </c>
      <c r="F86" s="59" t="s">
        <v>77</v>
      </c>
      <c r="G86" s="59">
        <v>4</v>
      </c>
      <c r="H86" s="59">
        <v>1</v>
      </c>
      <c r="I86" s="59" t="s">
        <v>10</v>
      </c>
      <c r="J86" s="86">
        <v>0.4694444444444445</v>
      </c>
      <c r="K86" s="59">
        <v>0</v>
      </c>
      <c r="L86" s="59">
        <v>0</v>
      </c>
      <c r="M86" s="59">
        <v>100</v>
      </c>
      <c r="N86" s="59" t="s">
        <v>152</v>
      </c>
      <c r="O86" s="59"/>
    </row>
    <row r="87" spans="1:15" x14ac:dyDescent="0.25">
      <c r="A87" s="59" t="s">
        <v>155</v>
      </c>
      <c r="B87" s="59" t="s">
        <v>109</v>
      </c>
      <c r="C87" s="59" t="s">
        <v>108</v>
      </c>
      <c r="D87" s="59" t="s">
        <v>49</v>
      </c>
      <c r="E87" s="59">
        <v>43</v>
      </c>
      <c r="F87" s="59" t="s">
        <v>44</v>
      </c>
      <c r="G87" s="59">
        <v>4</v>
      </c>
      <c r="H87" s="59">
        <v>2</v>
      </c>
      <c r="I87" s="59" t="s">
        <v>10</v>
      </c>
      <c r="J87" s="86">
        <v>0.4694444444444445</v>
      </c>
      <c r="K87" s="59">
        <v>0</v>
      </c>
      <c r="L87" s="59">
        <v>0</v>
      </c>
      <c r="M87" s="59">
        <v>113</v>
      </c>
      <c r="N87" s="59" t="s">
        <v>152</v>
      </c>
      <c r="O87" s="59"/>
    </row>
    <row r="88" spans="1:15" x14ac:dyDescent="0.25">
      <c r="A88" s="59" t="s">
        <v>155</v>
      </c>
      <c r="B88" s="59" t="s">
        <v>123</v>
      </c>
      <c r="C88" s="59" t="s">
        <v>122</v>
      </c>
      <c r="D88" s="59" t="s">
        <v>49</v>
      </c>
      <c r="E88" s="59">
        <v>30</v>
      </c>
      <c r="F88" s="59" t="s">
        <v>69</v>
      </c>
      <c r="G88" s="59">
        <v>1</v>
      </c>
      <c r="H88" s="59">
        <v>1</v>
      </c>
      <c r="I88" s="59" t="s">
        <v>11</v>
      </c>
      <c r="J88" s="86">
        <v>0.47361111111111109</v>
      </c>
      <c r="K88" s="59">
        <v>0</v>
      </c>
      <c r="L88" s="59">
        <v>0</v>
      </c>
      <c r="M88" s="59">
        <v>75</v>
      </c>
      <c r="N88" s="59" t="s">
        <v>152</v>
      </c>
      <c r="O88" s="59"/>
    </row>
    <row r="89" spans="1:15" x14ac:dyDescent="0.25">
      <c r="A89" s="59" t="s">
        <v>155</v>
      </c>
      <c r="B89" s="59" t="s">
        <v>121</v>
      </c>
      <c r="C89" s="59" t="s">
        <v>120</v>
      </c>
      <c r="D89" s="59" t="s">
        <v>49</v>
      </c>
      <c r="E89" s="59">
        <v>26</v>
      </c>
      <c r="F89" s="59" t="s">
        <v>69</v>
      </c>
      <c r="G89" s="59">
        <v>1</v>
      </c>
      <c r="H89" s="59">
        <v>2</v>
      </c>
      <c r="I89" s="59" t="s">
        <v>11</v>
      </c>
      <c r="J89" s="86">
        <v>0.47361111111111109</v>
      </c>
      <c r="K89" s="59">
        <v>0</v>
      </c>
      <c r="L89" s="59">
        <v>0</v>
      </c>
      <c r="M89" s="59">
        <v>80</v>
      </c>
      <c r="N89" s="59" t="s">
        <v>152</v>
      </c>
      <c r="O89" s="59"/>
    </row>
    <row r="90" spans="1:15" x14ac:dyDescent="0.25">
      <c r="A90" s="59" t="s">
        <v>155</v>
      </c>
      <c r="B90" s="59" t="s">
        <v>123</v>
      </c>
      <c r="C90" s="59" t="s">
        <v>122</v>
      </c>
      <c r="D90" s="59" t="s">
        <v>49</v>
      </c>
      <c r="E90" s="59">
        <v>30</v>
      </c>
      <c r="F90" s="59" t="s">
        <v>69</v>
      </c>
      <c r="G90" s="59">
        <v>1</v>
      </c>
      <c r="H90" s="59">
        <v>1</v>
      </c>
      <c r="I90" s="59" t="s">
        <v>12</v>
      </c>
      <c r="J90" s="86">
        <v>0.47430555555555554</v>
      </c>
      <c r="K90" s="59">
        <v>0</v>
      </c>
      <c r="L90" s="59">
        <v>0</v>
      </c>
      <c r="M90" s="59">
        <v>75</v>
      </c>
      <c r="N90" s="59" t="s">
        <v>152</v>
      </c>
      <c r="O90" s="59"/>
    </row>
    <row r="91" spans="1:15" x14ac:dyDescent="0.25">
      <c r="A91" s="59" t="s">
        <v>155</v>
      </c>
      <c r="B91" s="59" t="s">
        <v>121</v>
      </c>
      <c r="C91" s="59" t="s">
        <v>120</v>
      </c>
      <c r="D91" s="59" t="s">
        <v>49</v>
      </c>
      <c r="E91" s="59">
        <v>26</v>
      </c>
      <c r="F91" s="59" t="s">
        <v>69</v>
      </c>
      <c r="G91" s="59">
        <v>1</v>
      </c>
      <c r="H91" s="59">
        <v>2</v>
      </c>
      <c r="I91" s="59" t="s">
        <v>12</v>
      </c>
      <c r="J91" s="86">
        <v>0.47430555555555554</v>
      </c>
      <c r="K91" s="59">
        <v>0</v>
      </c>
      <c r="L91" s="59">
        <v>0</v>
      </c>
      <c r="M91" s="59">
        <v>80</v>
      </c>
      <c r="N91" s="59" t="s">
        <v>152</v>
      </c>
      <c r="O91" s="59"/>
    </row>
    <row r="92" spans="1:15" x14ac:dyDescent="0.25">
      <c r="A92" s="59" t="s">
        <v>155</v>
      </c>
      <c r="B92" s="59" t="s">
        <v>107</v>
      </c>
      <c r="C92" s="59" t="s">
        <v>106</v>
      </c>
      <c r="D92" s="59" t="s">
        <v>49</v>
      </c>
      <c r="E92" s="59">
        <v>16</v>
      </c>
      <c r="F92" s="59" t="s">
        <v>54</v>
      </c>
      <c r="G92" s="59">
        <v>5</v>
      </c>
      <c r="H92" s="59">
        <v>1</v>
      </c>
      <c r="I92" s="59" t="s">
        <v>10</v>
      </c>
      <c r="J92" s="86">
        <v>0.47430555555555554</v>
      </c>
      <c r="K92" s="59">
        <v>0</v>
      </c>
      <c r="L92" s="59">
        <v>0</v>
      </c>
      <c r="M92" s="59">
        <v>115</v>
      </c>
      <c r="N92" s="59" t="s">
        <v>152</v>
      </c>
      <c r="O92" s="59"/>
    </row>
    <row r="93" spans="1:15" x14ac:dyDescent="0.25">
      <c r="A93" s="59" t="s">
        <v>155</v>
      </c>
      <c r="B93" s="59" t="s">
        <v>105</v>
      </c>
      <c r="C93" s="59" t="s">
        <v>104</v>
      </c>
      <c r="D93" s="59" t="s">
        <v>49</v>
      </c>
      <c r="E93" s="59">
        <v>35</v>
      </c>
      <c r="F93" s="59" t="s">
        <v>64</v>
      </c>
      <c r="G93" s="59">
        <v>5</v>
      </c>
      <c r="H93" s="59">
        <v>2</v>
      </c>
      <c r="I93" s="59" t="s">
        <v>10</v>
      </c>
      <c r="J93" s="86">
        <v>0.47430555555555554</v>
      </c>
      <c r="K93" s="59">
        <v>0</v>
      </c>
      <c r="L93" s="59">
        <v>0</v>
      </c>
      <c r="M93" s="59">
        <v>120</v>
      </c>
      <c r="N93" s="59" t="s">
        <v>152</v>
      </c>
      <c r="O93" s="59"/>
    </row>
    <row r="94" spans="1:15" x14ac:dyDescent="0.25">
      <c r="A94" s="59" t="s">
        <v>155</v>
      </c>
      <c r="B94" s="59" t="s">
        <v>123</v>
      </c>
      <c r="C94" s="59" t="s">
        <v>122</v>
      </c>
      <c r="D94" s="59" t="s">
        <v>49</v>
      </c>
      <c r="E94" s="59">
        <v>30</v>
      </c>
      <c r="F94" s="59" t="s">
        <v>69</v>
      </c>
      <c r="G94" s="59">
        <v>1</v>
      </c>
      <c r="H94" s="59">
        <v>1</v>
      </c>
      <c r="I94" s="59" t="s">
        <v>9</v>
      </c>
      <c r="J94" s="86">
        <v>0.47569444444444442</v>
      </c>
      <c r="K94" s="59">
        <v>0</v>
      </c>
      <c r="L94" s="59">
        <v>0</v>
      </c>
      <c r="M94" s="59">
        <v>75</v>
      </c>
      <c r="N94" s="59" t="s">
        <v>152</v>
      </c>
      <c r="O94" s="59"/>
    </row>
    <row r="95" spans="1:15" x14ac:dyDescent="0.25">
      <c r="A95" s="59" t="s">
        <v>155</v>
      </c>
      <c r="B95" s="59" t="s">
        <v>121</v>
      </c>
      <c r="C95" s="59" t="s">
        <v>120</v>
      </c>
      <c r="D95" s="59" t="s">
        <v>49</v>
      </c>
      <c r="E95" s="59">
        <v>26</v>
      </c>
      <c r="F95" s="59" t="s">
        <v>69</v>
      </c>
      <c r="G95" s="59">
        <v>1</v>
      </c>
      <c r="H95" s="59">
        <v>2</v>
      </c>
      <c r="I95" s="59" t="s">
        <v>9</v>
      </c>
      <c r="J95" s="86">
        <v>0.47569444444444442</v>
      </c>
      <c r="K95" s="59">
        <v>0</v>
      </c>
      <c r="L95" s="59">
        <v>0</v>
      </c>
      <c r="M95" s="59">
        <v>80</v>
      </c>
      <c r="N95" s="59" t="s">
        <v>152</v>
      </c>
      <c r="O95" s="59"/>
    </row>
    <row r="96" spans="1:15" x14ac:dyDescent="0.25">
      <c r="A96" s="59" t="s">
        <v>155</v>
      </c>
      <c r="B96" s="59" t="s">
        <v>115</v>
      </c>
      <c r="C96" s="59" t="s">
        <v>114</v>
      </c>
      <c r="D96" s="59" t="s">
        <v>49</v>
      </c>
      <c r="E96" s="59">
        <v>33</v>
      </c>
      <c r="F96" s="59" t="s">
        <v>64</v>
      </c>
      <c r="G96" s="59">
        <v>2</v>
      </c>
      <c r="H96" s="59">
        <v>1</v>
      </c>
      <c r="I96" s="59" t="s">
        <v>11</v>
      </c>
      <c r="J96" s="86">
        <v>0.47847222222222224</v>
      </c>
      <c r="K96" s="59">
        <v>0</v>
      </c>
      <c r="L96" s="59">
        <v>0</v>
      </c>
      <c r="M96" s="59">
        <v>100</v>
      </c>
      <c r="N96" s="59" t="s">
        <v>152</v>
      </c>
      <c r="O96" s="59"/>
    </row>
    <row r="97" spans="1:15" x14ac:dyDescent="0.25">
      <c r="A97" s="59" t="s">
        <v>155</v>
      </c>
      <c r="B97" s="59" t="s">
        <v>119</v>
      </c>
      <c r="C97" s="59" t="s">
        <v>118</v>
      </c>
      <c r="D97" s="59" t="s">
        <v>49</v>
      </c>
      <c r="E97" s="59">
        <v>5</v>
      </c>
      <c r="F97" s="59" t="s">
        <v>46</v>
      </c>
      <c r="G97" s="59">
        <v>2</v>
      </c>
      <c r="H97" s="59">
        <v>2</v>
      </c>
      <c r="I97" s="59" t="s">
        <v>11</v>
      </c>
      <c r="J97" s="86">
        <v>0.47847222222222224</v>
      </c>
      <c r="K97" s="59">
        <v>0</v>
      </c>
      <c r="L97" s="59">
        <v>0</v>
      </c>
      <c r="M97" s="59">
        <v>100</v>
      </c>
      <c r="N97" s="59" t="s">
        <v>152</v>
      </c>
      <c r="O97" s="59"/>
    </row>
    <row r="98" spans="1:15" x14ac:dyDescent="0.25">
      <c r="A98" s="59" t="s">
        <v>155</v>
      </c>
      <c r="B98" s="59" t="s">
        <v>115</v>
      </c>
      <c r="C98" s="59" t="s">
        <v>114</v>
      </c>
      <c r="D98" s="59" t="s">
        <v>49</v>
      </c>
      <c r="E98" s="59">
        <v>33</v>
      </c>
      <c r="F98" s="59" t="s">
        <v>64</v>
      </c>
      <c r="G98" s="59">
        <v>2</v>
      </c>
      <c r="H98" s="59">
        <v>1</v>
      </c>
      <c r="I98" s="59" t="s">
        <v>12</v>
      </c>
      <c r="J98" s="86">
        <v>0.47916666666666669</v>
      </c>
      <c r="K98" s="59">
        <v>0</v>
      </c>
      <c r="L98" s="59">
        <v>0</v>
      </c>
      <c r="M98" s="59">
        <v>100</v>
      </c>
      <c r="N98" s="59" t="s">
        <v>152</v>
      </c>
      <c r="O98" s="59"/>
    </row>
    <row r="99" spans="1:15" x14ac:dyDescent="0.25">
      <c r="A99" s="59" t="s">
        <v>155</v>
      </c>
      <c r="B99" s="59" t="s">
        <v>119</v>
      </c>
      <c r="C99" s="59" t="s">
        <v>118</v>
      </c>
      <c r="D99" s="59" t="s">
        <v>49</v>
      </c>
      <c r="E99" s="59">
        <v>5</v>
      </c>
      <c r="F99" s="59" t="s">
        <v>46</v>
      </c>
      <c r="G99" s="59">
        <v>2</v>
      </c>
      <c r="H99" s="59">
        <v>2</v>
      </c>
      <c r="I99" s="59" t="s">
        <v>12</v>
      </c>
      <c r="J99" s="86">
        <v>0.47916666666666669</v>
      </c>
      <c r="K99" s="59">
        <v>0</v>
      </c>
      <c r="L99" s="59">
        <v>0</v>
      </c>
      <c r="M99" s="59">
        <v>100</v>
      </c>
      <c r="N99" s="59" t="s">
        <v>152</v>
      </c>
      <c r="O99" s="59"/>
    </row>
    <row r="100" spans="1:15" x14ac:dyDescent="0.25">
      <c r="A100" s="59" t="s">
        <v>155</v>
      </c>
      <c r="B100" s="59" t="s">
        <v>103</v>
      </c>
      <c r="C100" s="59" t="s">
        <v>102</v>
      </c>
      <c r="D100" s="59" t="s">
        <v>49</v>
      </c>
      <c r="E100" s="59">
        <v>17</v>
      </c>
      <c r="F100" s="59" t="s">
        <v>54</v>
      </c>
      <c r="G100" s="59">
        <v>6</v>
      </c>
      <c r="H100" s="59">
        <v>1</v>
      </c>
      <c r="I100" s="59" t="s">
        <v>10</v>
      </c>
      <c r="J100" s="86">
        <v>0.47916666666666669</v>
      </c>
      <c r="K100" s="59">
        <v>0</v>
      </c>
      <c r="L100" s="59">
        <v>0</v>
      </c>
      <c r="M100" s="59">
        <v>126</v>
      </c>
      <c r="N100" s="59" t="s">
        <v>152</v>
      </c>
      <c r="O100" s="59"/>
    </row>
    <row r="101" spans="1:15" x14ac:dyDescent="0.25">
      <c r="A101" s="59" t="s">
        <v>155</v>
      </c>
      <c r="B101" s="59" t="s">
        <v>99</v>
      </c>
      <c r="C101" s="59" t="s">
        <v>98</v>
      </c>
      <c r="D101" s="59" t="s">
        <v>49</v>
      </c>
      <c r="E101" s="59">
        <v>14</v>
      </c>
      <c r="F101" s="59" t="s">
        <v>72</v>
      </c>
      <c r="G101" s="59">
        <v>6</v>
      </c>
      <c r="H101" s="59">
        <v>2</v>
      </c>
      <c r="I101" s="59" t="s">
        <v>10</v>
      </c>
      <c r="J101" s="86">
        <v>0.47916666666666669</v>
      </c>
      <c r="K101" s="59">
        <v>0</v>
      </c>
      <c r="L101" s="59">
        <v>0</v>
      </c>
      <c r="M101" s="59">
        <v>140</v>
      </c>
      <c r="N101" s="59" t="s">
        <v>152</v>
      </c>
      <c r="O101" s="59"/>
    </row>
    <row r="102" spans="1:15" x14ac:dyDescent="0.25">
      <c r="A102" s="59" t="s">
        <v>155</v>
      </c>
      <c r="B102" s="59" t="s">
        <v>115</v>
      </c>
      <c r="C102" s="59" t="s">
        <v>114</v>
      </c>
      <c r="D102" s="59" t="s">
        <v>49</v>
      </c>
      <c r="E102" s="59">
        <v>33</v>
      </c>
      <c r="F102" s="59" t="s">
        <v>64</v>
      </c>
      <c r="G102" s="59">
        <v>2</v>
      </c>
      <c r="H102" s="59">
        <v>1</v>
      </c>
      <c r="I102" s="59" t="s">
        <v>9</v>
      </c>
      <c r="J102" s="86">
        <v>0.48055555555555557</v>
      </c>
      <c r="K102" s="59">
        <v>0</v>
      </c>
      <c r="L102" s="59">
        <v>0</v>
      </c>
      <c r="M102" s="59">
        <v>100</v>
      </c>
      <c r="N102" s="59" t="s">
        <v>152</v>
      </c>
      <c r="O102" s="59"/>
    </row>
    <row r="103" spans="1:15" x14ac:dyDescent="0.25">
      <c r="A103" s="59" t="s">
        <v>155</v>
      </c>
      <c r="B103" s="59" t="s">
        <v>119</v>
      </c>
      <c r="C103" s="59" t="s">
        <v>118</v>
      </c>
      <c r="D103" s="59" t="s">
        <v>49</v>
      </c>
      <c r="E103" s="59">
        <v>5</v>
      </c>
      <c r="F103" s="59" t="s">
        <v>46</v>
      </c>
      <c r="G103" s="59">
        <v>2</v>
      </c>
      <c r="H103" s="59">
        <v>2</v>
      </c>
      <c r="I103" s="59" t="s">
        <v>9</v>
      </c>
      <c r="J103" s="86">
        <v>0.48055555555555557</v>
      </c>
      <c r="K103" s="59">
        <v>0</v>
      </c>
      <c r="L103" s="59">
        <v>0</v>
      </c>
      <c r="M103" s="59">
        <v>100</v>
      </c>
      <c r="N103" s="59" t="s">
        <v>152</v>
      </c>
      <c r="O103" s="59"/>
    </row>
    <row r="104" spans="1:15" x14ac:dyDescent="0.25">
      <c r="A104" s="59" t="s">
        <v>155</v>
      </c>
      <c r="B104" s="59" t="s">
        <v>117</v>
      </c>
      <c r="C104" s="59" t="s">
        <v>116</v>
      </c>
      <c r="D104" s="59" t="s">
        <v>43</v>
      </c>
      <c r="E104" s="59">
        <v>6</v>
      </c>
      <c r="F104" s="59" t="s">
        <v>59</v>
      </c>
      <c r="G104" s="59">
        <v>3</v>
      </c>
      <c r="H104" s="59">
        <v>1</v>
      </c>
      <c r="I104" s="59" t="s">
        <v>11</v>
      </c>
      <c r="J104" s="86">
        <v>0.48333333333333334</v>
      </c>
      <c r="K104" s="59">
        <v>0</v>
      </c>
      <c r="L104" s="59">
        <v>0</v>
      </c>
      <c r="M104" s="59">
        <v>100</v>
      </c>
      <c r="N104" s="59" t="s">
        <v>152</v>
      </c>
      <c r="O104" s="59"/>
    </row>
    <row r="105" spans="1:15" x14ac:dyDescent="0.25">
      <c r="A105" s="59" t="s">
        <v>155</v>
      </c>
      <c r="B105" s="59" t="s">
        <v>111</v>
      </c>
      <c r="C105" s="59" t="s">
        <v>110</v>
      </c>
      <c r="D105" s="59" t="s">
        <v>49</v>
      </c>
      <c r="E105" s="59">
        <v>8</v>
      </c>
      <c r="F105" s="59" t="s">
        <v>59</v>
      </c>
      <c r="G105" s="59">
        <v>3</v>
      </c>
      <c r="H105" s="59">
        <v>2</v>
      </c>
      <c r="I105" s="59" t="s">
        <v>11</v>
      </c>
      <c r="J105" s="86">
        <v>0.48333333333333334</v>
      </c>
      <c r="K105" s="59">
        <v>0</v>
      </c>
      <c r="L105" s="59">
        <v>0</v>
      </c>
      <c r="M105" s="59">
        <v>100</v>
      </c>
      <c r="N105" s="59" t="s">
        <v>152</v>
      </c>
      <c r="O105" s="59"/>
    </row>
    <row r="106" spans="1:15" x14ac:dyDescent="0.25">
      <c r="A106" s="59" t="s">
        <v>155</v>
      </c>
      <c r="B106" s="59" t="s">
        <v>117</v>
      </c>
      <c r="C106" s="59" t="s">
        <v>116</v>
      </c>
      <c r="D106" s="59" t="s">
        <v>43</v>
      </c>
      <c r="E106" s="59">
        <v>6</v>
      </c>
      <c r="F106" s="59" t="s">
        <v>59</v>
      </c>
      <c r="G106" s="59">
        <v>3</v>
      </c>
      <c r="H106" s="59">
        <v>1</v>
      </c>
      <c r="I106" s="59" t="s">
        <v>12</v>
      </c>
      <c r="J106" s="86">
        <v>0.48402777777777778</v>
      </c>
      <c r="K106" s="59">
        <v>0</v>
      </c>
      <c r="L106" s="59">
        <v>0</v>
      </c>
      <c r="M106" s="59">
        <v>100</v>
      </c>
      <c r="N106" s="59" t="s">
        <v>152</v>
      </c>
      <c r="O106" s="59"/>
    </row>
    <row r="107" spans="1:15" x14ac:dyDescent="0.25">
      <c r="A107" s="59" t="s">
        <v>155</v>
      </c>
      <c r="B107" s="59" t="s">
        <v>111</v>
      </c>
      <c r="C107" s="59" t="s">
        <v>110</v>
      </c>
      <c r="D107" s="59" t="s">
        <v>49</v>
      </c>
      <c r="E107" s="59">
        <v>8</v>
      </c>
      <c r="F107" s="59" t="s">
        <v>59</v>
      </c>
      <c r="G107" s="59">
        <v>3</v>
      </c>
      <c r="H107" s="59">
        <v>2</v>
      </c>
      <c r="I107" s="59" t="s">
        <v>12</v>
      </c>
      <c r="J107" s="86">
        <v>0.48402777777777778</v>
      </c>
      <c r="K107" s="59">
        <v>0</v>
      </c>
      <c r="L107" s="59">
        <v>0</v>
      </c>
      <c r="M107" s="59">
        <v>100</v>
      </c>
      <c r="N107" s="59" t="s">
        <v>152</v>
      </c>
      <c r="O107" s="59"/>
    </row>
    <row r="108" spans="1:15" x14ac:dyDescent="0.25">
      <c r="A108" s="59" t="s">
        <v>155</v>
      </c>
      <c r="B108" s="59" t="s">
        <v>101</v>
      </c>
      <c r="C108" s="59" t="s">
        <v>100</v>
      </c>
      <c r="D108" s="59" t="s">
        <v>43</v>
      </c>
      <c r="E108" s="59">
        <v>44</v>
      </c>
      <c r="F108" s="59" t="s">
        <v>44</v>
      </c>
      <c r="G108" s="59">
        <v>7</v>
      </c>
      <c r="H108" s="59">
        <v>1</v>
      </c>
      <c r="I108" s="59" t="s">
        <v>10</v>
      </c>
      <c r="J108" s="86">
        <v>0.48402777777777778</v>
      </c>
      <c r="K108" s="59">
        <v>0</v>
      </c>
      <c r="L108" s="59">
        <v>0</v>
      </c>
      <c r="M108" s="59">
        <v>140</v>
      </c>
      <c r="N108" s="59" t="s">
        <v>152</v>
      </c>
      <c r="O108" s="59"/>
    </row>
    <row r="109" spans="1:15" x14ac:dyDescent="0.25">
      <c r="A109" s="59" t="s">
        <v>155</v>
      </c>
      <c r="B109" s="59" t="s">
        <v>97</v>
      </c>
      <c r="C109" s="59" t="s">
        <v>96</v>
      </c>
      <c r="D109" s="59" t="s">
        <v>49</v>
      </c>
      <c r="E109" s="59">
        <v>39</v>
      </c>
      <c r="F109" s="59" t="s">
        <v>51</v>
      </c>
      <c r="G109" s="59">
        <v>7</v>
      </c>
      <c r="H109" s="59">
        <v>2</v>
      </c>
      <c r="I109" s="59" t="s">
        <v>10</v>
      </c>
      <c r="J109" s="86">
        <v>0.48402777777777778</v>
      </c>
      <c r="K109" s="59">
        <v>0</v>
      </c>
      <c r="L109" s="59">
        <v>0</v>
      </c>
      <c r="M109" s="59">
        <v>150</v>
      </c>
      <c r="N109" s="59" t="s">
        <v>152</v>
      </c>
      <c r="O109" s="59"/>
    </row>
    <row r="110" spans="1:15" x14ac:dyDescent="0.25">
      <c r="A110" s="59" t="s">
        <v>155</v>
      </c>
      <c r="B110" s="59" t="s">
        <v>117</v>
      </c>
      <c r="C110" s="59" t="s">
        <v>116</v>
      </c>
      <c r="D110" s="59" t="s">
        <v>43</v>
      </c>
      <c r="E110" s="59">
        <v>6</v>
      </c>
      <c r="F110" s="59" t="s">
        <v>59</v>
      </c>
      <c r="G110" s="59">
        <v>3</v>
      </c>
      <c r="H110" s="59">
        <v>1</v>
      </c>
      <c r="I110" s="59" t="s">
        <v>9</v>
      </c>
      <c r="J110" s="86">
        <v>0.48541666666666666</v>
      </c>
      <c r="K110" s="59">
        <v>0</v>
      </c>
      <c r="L110" s="59">
        <v>0</v>
      </c>
      <c r="M110" s="59">
        <v>100</v>
      </c>
      <c r="N110" s="59" t="s">
        <v>152</v>
      </c>
      <c r="O110" s="59"/>
    </row>
    <row r="111" spans="1:15" x14ac:dyDescent="0.25">
      <c r="A111" s="59" t="s">
        <v>155</v>
      </c>
      <c r="B111" s="59" t="s">
        <v>111</v>
      </c>
      <c r="C111" s="59" t="s">
        <v>110</v>
      </c>
      <c r="D111" s="59" t="s">
        <v>49</v>
      </c>
      <c r="E111" s="59">
        <v>8</v>
      </c>
      <c r="F111" s="59" t="s">
        <v>59</v>
      </c>
      <c r="G111" s="59">
        <v>3</v>
      </c>
      <c r="H111" s="59">
        <v>2</v>
      </c>
      <c r="I111" s="59" t="s">
        <v>9</v>
      </c>
      <c r="J111" s="86">
        <v>0.48541666666666666</v>
      </c>
      <c r="K111" s="59">
        <v>0</v>
      </c>
      <c r="L111" s="59">
        <v>0</v>
      </c>
      <c r="M111" s="59">
        <v>100</v>
      </c>
      <c r="N111" s="59" t="s">
        <v>152</v>
      </c>
      <c r="O111" s="59"/>
    </row>
    <row r="112" spans="1:15" x14ac:dyDescent="0.25">
      <c r="A112" s="59" t="s">
        <v>155</v>
      </c>
      <c r="B112" s="59" t="s">
        <v>113</v>
      </c>
      <c r="C112" s="59" t="s">
        <v>112</v>
      </c>
      <c r="D112" s="59" t="s">
        <v>49</v>
      </c>
      <c r="E112" s="59">
        <v>24</v>
      </c>
      <c r="F112" s="59" t="s">
        <v>77</v>
      </c>
      <c r="G112" s="59">
        <v>4</v>
      </c>
      <c r="H112" s="59">
        <v>1</v>
      </c>
      <c r="I112" s="59" t="s">
        <v>11</v>
      </c>
      <c r="J112" s="86">
        <v>0.48819444444444449</v>
      </c>
      <c r="K112" s="59">
        <v>0</v>
      </c>
      <c r="L112" s="59">
        <v>0</v>
      </c>
      <c r="M112" s="59">
        <v>100</v>
      </c>
      <c r="N112" s="59" t="s">
        <v>152</v>
      </c>
      <c r="O112" s="59"/>
    </row>
    <row r="113" spans="1:15" x14ac:dyDescent="0.25">
      <c r="A113" s="59" t="s">
        <v>155</v>
      </c>
      <c r="B113" s="59" t="s">
        <v>109</v>
      </c>
      <c r="C113" s="59" t="s">
        <v>108</v>
      </c>
      <c r="D113" s="59" t="s">
        <v>49</v>
      </c>
      <c r="E113" s="59">
        <v>43</v>
      </c>
      <c r="F113" s="59" t="s">
        <v>44</v>
      </c>
      <c r="G113" s="59">
        <v>4</v>
      </c>
      <c r="H113" s="59">
        <v>2</v>
      </c>
      <c r="I113" s="59" t="s">
        <v>11</v>
      </c>
      <c r="J113" s="86">
        <v>0.48819444444444449</v>
      </c>
      <c r="K113" s="59">
        <v>0</v>
      </c>
      <c r="L113" s="59">
        <v>0</v>
      </c>
      <c r="M113" s="59">
        <v>113</v>
      </c>
      <c r="N113" s="59" t="s">
        <v>152</v>
      </c>
      <c r="O113" s="59"/>
    </row>
    <row r="114" spans="1:15" x14ac:dyDescent="0.25">
      <c r="A114" s="59" t="s">
        <v>155</v>
      </c>
      <c r="B114" s="59" t="s">
        <v>95</v>
      </c>
      <c r="C114" s="59" t="s">
        <v>94</v>
      </c>
      <c r="D114" s="59" t="s">
        <v>49</v>
      </c>
      <c r="E114" s="59">
        <v>40</v>
      </c>
      <c r="F114" s="59" t="s">
        <v>51</v>
      </c>
      <c r="G114" s="59">
        <v>8</v>
      </c>
      <c r="H114" s="59">
        <v>1</v>
      </c>
      <c r="I114" s="59" t="s">
        <v>10</v>
      </c>
      <c r="J114" s="86">
        <v>0.48888888888888887</v>
      </c>
      <c r="K114" s="59">
        <v>0</v>
      </c>
      <c r="L114" s="59">
        <v>0</v>
      </c>
      <c r="M114" s="59">
        <v>150</v>
      </c>
      <c r="N114" s="59" t="s">
        <v>152</v>
      </c>
      <c r="O114" s="59"/>
    </row>
    <row r="115" spans="1:15" x14ac:dyDescent="0.25">
      <c r="A115" s="59" t="s">
        <v>155</v>
      </c>
      <c r="B115" s="59" t="s">
        <v>93</v>
      </c>
      <c r="C115" s="59" t="s">
        <v>62</v>
      </c>
      <c r="D115" s="59" t="s">
        <v>43</v>
      </c>
      <c r="E115" s="59">
        <v>23</v>
      </c>
      <c r="F115" s="59" t="s">
        <v>77</v>
      </c>
      <c r="G115" s="59">
        <v>8</v>
      </c>
      <c r="H115" s="59">
        <v>2</v>
      </c>
      <c r="I115" s="59" t="s">
        <v>10</v>
      </c>
      <c r="J115" s="86">
        <v>0.48888888888888887</v>
      </c>
      <c r="K115" s="59">
        <v>0</v>
      </c>
      <c r="L115" s="59">
        <v>0</v>
      </c>
      <c r="M115" s="59">
        <v>175</v>
      </c>
      <c r="N115" s="59" t="s">
        <v>152</v>
      </c>
      <c r="O115" s="59"/>
    </row>
    <row r="116" spans="1:15" x14ac:dyDescent="0.25">
      <c r="A116" s="59" t="s">
        <v>155</v>
      </c>
      <c r="B116" s="59" t="s">
        <v>113</v>
      </c>
      <c r="C116" s="59" t="s">
        <v>112</v>
      </c>
      <c r="D116" s="59" t="s">
        <v>49</v>
      </c>
      <c r="E116" s="59">
        <v>24</v>
      </c>
      <c r="F116" s="59" t="s">
        <v>77</v>
      </c>
      <c r="G116" s="59">
        <v>4</v>
      </c>
      <c r="H116" s="59">
        <v>1</v>
      </c>
      <c r="I116" s="59" t="s">
        <v>12</v>
      </c>
      <c r="J116" s="86">
        <v>0.48888888888888893</v>
      </c>
      <c r="K116" s="59">
        <v>0</v>
      </c>
      <c r="L116" s="59">
        <v>0</v>
      </c>
      <c r="M116" s="59">
        <v>100</v>
      </c>
      <c r="N116" s="59" t="s">
        <v>152</v>
      </c>
      <c r="O116" s="59"/>
    </row>
    <row r="117" spans="1:15" x14ac:dyDescent="0.25">
      <c r="A117" s="59" t="s">
        <v>155</v>
      </c>
      <c r="B117" s="59" t="s">
        <v>109</v>
      </c>
      <c r="C117" s="59" t="s">
        <v>108</v>
      </c>
      <c r="D117" s="59" t="s">
        <v>49</v>
      </c>
      <c r="E117" s="59">
        <v>43</v>
      </c>
      <c r="F117" s="59" t="s">
        <v>44</v>
      </c>
      <c r="G117" s="59">
        <v>4</v>
      </c>
      <c r="H117" s="59">
        <v>2</v>
      </c>
      <c r="I117" s="59" t="s">
        <v>12</v>
      </c>
      <c r="J117" s="86">
        <v>0.48888888888888893</v>
      </c>
      <c r="K117" s="59">
        <v>0</v>
      </c>
      <c r="L117" s="59">
        <v>0</v>
      </c>
      <c r="M117" s="59">
        <v>113</v>
      </c>
      <c r="N117" s="59" t="s">
        <v>152</v>
      </c>
      <c r="O117" s="59"/>
    </row>
    <row r="118" spans="1:15" x14ac:dyDescent="0.25">
      <c r="A118" s="59" t="s">
        <v>155</v>
      </c>
      <c r="B118" s="59" t="s">
        <v>113</v>
      </c>
      <c r="C118" s="59" t="s">
        <v>112</v>
      </c>
      <c r="D118" s="59" t="s">
        <v>49</v>
      </c>
      <c r="E118" s="59">
        <v>24</v>
      </c>
      <c r="F118" s="59" t="s">
        <v>77</v>
      </c>
      <c r="G118" s="59">
        <v>4</v>
      </c>
      <c r="H118" s="59">
        <v>1</v>
      </c>
      <c r="I118" s="59" t="s">
        <v>9</v>
      </c>
      <c r="J118" s="86">
        <v>0.49027777777777781</v>
      </c>
      <c r="K118" s="59">
        <v>0</v>
      </c>
      <c r="L118" s="59">
        <v>0</v>
      </c>
      <c r="M118" s="59">
        <v>100</v>
      </c>
      <c r="N118" s="59" t="s">
        <v>152</v>
      </c>
      <c r="O118" s="59"/>
    </row>
    <row r="119" spans="1:15" x14ac:dyDescent="0.25">
      <c r="A119" s="59" t="s">
        <v>155</v>
      </c>
      <c r="B119" s="59" t="s">
        <v>109</v>
      </c>
      <c r="C119" s="59" t="s">
        <v>108</v>
      </c>
      <c r="D119" s="59" t="s">
        <v>49</v>
      </c>
      <c r="E119" s="59">
        <v>43</v>
      </c>
      <c r="F119" s="59" t="s">
        <v>44</v>
      </c>
      <c r="G119" s="59">
        <v>4</v>
      </c>
      <c r="H119" s="59">
        <v>2</v>
      </c>
      <c r="I119" s="59" t="s">
        <v>9</v>
      </c>
      <c r="J119" s="86">
        <v>0.49027777777777781</v>
      </c>
      <c r="K119" s="59">
        <v>0</v>
      </c>
      <c r="L119" s="59">
        <v>0</v>
      </c>
      <c r="M119" s="59">
        <v>113</v>
      </c>
      <c r="N119" s="59" t="s">
        <v>152</v>
      </c>
      <c r="O119" s="59"/>
    </row>
    <row r="120" spans="1:15" x14ac:dyDescent="0.25">
      <c r="A120" s="59" t="s">
        <v>155</v>
      </c>
      <c r="B120" s="59" t="s">
        <v>107</v>
      </c>
      <c r="C120" s="59" t="s">
        <v>106</v>
      </c>
      <c r="D120" s="59" t="s">
        <v>49</v>
      </c>
      <c r="E120" s="59">
        <v>16</v>
      </c>
      <c r="F120" s="59" t="s">
        <v>54</v>
      </c>
      <c r="G120" s="59">
        <v>5</v>
      </c>
      <c r="H120" s="59">
        <v>1</v>
      </c>
      <c r="I120" s="59" t="s">
        <v>11</v>
      </c>
      <c r="J120" s="86">
        <v>0.49305555555555552</v>
      </c>
      <c r="K120" s="59">
        <v>0</v>
      </c>
      <c r="L120" s="59">
        <v>0</v>
      </c>
      <c r="M120" s="59">
        <v>115</v>
      </c>
      <c r="N120" s="59" t="s">
        <v>152</v>
      </c>
      <c r="O120" s="59"/>
    </row>
    <row r="121" spans="1:15" x14ac:dyDescent="0.25">
      <c r="A121" s="59" t="s">
        <v>155</v>
      </c>
      <c r="B121" s="59" t="s">
        <v>105</v>
      </c>
      <c r="C121" s="59" t="s">
        <v>104</v>
      </c>
      <c r="D121" s="59" t="s">
        <v>49</v>
      </c>
      <c r="E121" s="59">
        <v>35</v>
      </c>
      <c r="F121" s="59" t="s">
        <v>64</v>
      </c>
      <c r="G121" s="59">
        <v>5</v>
      </c>
      <c r="H121" s="59">
        <v>2</v>
      </c>
      <c r="I121" s="59" t="s">
        <v>11</v>
      </c>
      <c r="J121" s="86">
        <v>0.49305555555555552</v>
      </c>
      <c r="K121" s="59">
        <v>0</v>
      </c>
      <c r="L121" s="59">
        <v>0</v>
      </c>
      <c r="M121" s="59">
        <v>120</v>
      </c>
      <c r="N121" s="59" t="s">
        <v>152</v>
      </c>
      <c r="O121" s="59"/>
    </row>
    <row r="122" spans="1:15" x14ac:dyDescent="0.25">
      <c r="A122" s="59" t="s">
        <v>155</v>
      </c>
      <c r="B122" s="59" t="s">
        <v>107</v>
      </c>
      <c r="C122" s="59" t="s">
        <v>106</v>
      </c>
      <c r="D122" s="59" t="s">
        <v>49</v>
      </c>
      <c r="E122" s="59">
        <v>16</v>
      </c>
      <c r="F122" s="59" t="s">
        <v>54</v>
      </c>
      <c r="G122" s="59">
        <v>5</v>
      </c>
      <c r="H122" s="59">
        <v>1</v>
      </c>
      <c r="I122" s="59" t="s">
        <v>12</v>
      </c>
      <c r="J122" s="86">
        <v>0.49374999999999997</v>
      </c>
      <c r="K122" s="59">
        <v>0</v>
      </c>
      <c r="L122" s="59">
        <v>0</v>
      </c>
      <c r="M122" s="59">
        <v>115</v>
      </c>
      <c r="N122" s="59" t="s">
        <v>152</v>
      </c>
      <c r="O122" s="59"/>
    </row>
    <row r="123" spans="1:15" x14ac:dyDescent="0.25">
      <c r="A123" s="59" t="s">
        <v>155</v>
      </c>
      <c r="B123" s="59" t="s">
        <v>105</v>
      </c>
      <c r="C123" s="59" t="s">
        <v>104</v>
      </c>
      <c r="D123" s="59" t="s">
        <v>49</v>
      </c>
      <c r="E123" s="59">
        <v>35</v>
      </c>
      <c r="F123" s="59" t="s">
        <v>64</v>
      </c>
      <c r="G123" s="59">
        <v>5</v>
      </c>
      <c r="H123" s="59">
        <v>2</v>
      </c>
      <c r="I123" s="59" t="s">
        <v>12</v>
      </c>
      <c r="J123" s="86">
        <v>0.49374999999999997</v>
      </c>
      <c r="K123" s="59">
        <v>0</v>
      </c>
      <c r="L123" s="59">
        <v>0</v>
      </c>
      <c r="M123" s="59">
        <v>120</v>
      </c>
      <c r="N123" s="59" t="s">
        <v>152</v>
      </c>
      <c r="O123" s="59"/>
    </row>
    <row r="124" spans="1:15" x14ac:dyDescent="0.25">
      <c r="A124" s="59" t="s">
        <v>155</v>
      </c>
      <c r="B124" s="59" t="s">
        <v>92</v>
      </c>
      <c r="C124" s="59" t="s">
        <v>91</v>
      </c>
      <c r="D124" s="59" t="s">
        <v>43</v>
      </c>
      <c r="E124" s="59">
        <v>11</v>
      </c>
      <c r="F124" s="59" t="s">
        <v>72</v>
      </c>
      <c r="G124" s="59">
        <v>9</v>
      </c>
      <c r="H124" s="59">
        <v>1</v>
      </c>
      <c r="I124" s="59" t="s">
        <v>10</v>
      </c>
      <c r="J124" s="86">
        <v>0.49374999999999997</v>
      </c>
      <c r="K124" s="59">
        <v>0</v>
      </c>
      <c r="L124" s="59">
        <v>0</v>
      </c>
      <c r="M124" s="59">
        <v>200</v>
      </c>
      <c r="N124" s="59" t="s">
        <v>152</v>
      </c>
      <c r="O124" s="59"/>
    </row>
    <row r="125" spans="1:15" x14ac:dyDescent="0.25">
      <c r="A125" s="59" t="s">
        <v>155</v>
      </c>
      <c r="B125" s="59" t="s">
        <v>90</v>
      </c>
      <c r="C125" s="59" t="s">
        <v>89</v>
      </c>
      <c r="D125" s="59" t="s">
        <v>43</v>
      </c>
      <c r="E125" s="59">
        <v>2</v>
      </c>
      <c r="F125" s="59" t="s">
        <v>46</v>
      </c>
      <c r="G125" s="59">
        <v>9</v>
      </c>
      <c r="H125" s="59">
        <v>2</v>
      </c>
      <c r="I125" s="59" t="s">
        <v>10</v>
      </c>
      <c r="J125" s="86">
        <v>0.49374999999999997</v>
      </c>
      <c r="K125" s="59">
        <v>0</v>
      </c>
      <c r="L125" s="59">
        <v>0</v>
      </c>
      <c r="M125" s="59">
        <v>200</v>
      </c>
      <c r="N125" s="59" t="s">
        <v>152</v>
      </c>
      <c r="O125" s="59"/>
    </row>
    <row r="126" spans="1:15" x14ac:dyDescent="0.25">
      <c r="A126" s="59" t="s">
        <v>155</v>
      </c>
      <c r="B126" s="59" t="s">
        <v>107</v>
      </c>
      <c r="C126" s="59" t="s">
        <v>106</v>
      </c>
      <c r="D126" s="59" t="s">
        <v>49</v>
      </c>
      <c r="E126" s="59">
        <v>16</v>
      </c>
      <c r="F126" s="59" t="s">
        <v>54</v>
      </c>
      <c r="G126" s="59">
        <v>5</v>
      </c>
      <c r="H126" s="59">
        <v>1</v>
      </c>
      <c r="I126" s="59" t="s">
        <v>9</v>
      </c>
      <c r="J126" s="86">
        <v>0.49513888888888885</v>
      </c>
      <c r="K126" s="59">
        <v>0</v>
      </c>
      <c r="L126" s="59">
        <v>0</v>
      </c>
      <c r="M126" s="59">
        <v>115</v>
      </c>
      <c r="N126" s="59" t="s">
        <v>152</v>
      </c>
      <c r="O126" s="59"/>
    </row>
    <row r="127" spans="1:15" x14ac:dyDescent="0.25">
      <c r="A127" s="59" t="s">
        <v>155</v>
      </c>
      <c r="B127" s="59" t="s">
        <v>105</v>
      </c>
      <c r="C127" s="59" t="s">
        <v>104</v>
      </c>
      <c r="D127" s="59" t="s">
        <v>49</v>
      </c>
      <c r="E127" s="59">
        <v>35</v>
      </c>
      <c r="F127" s="59" t="s">
        <v>64</v>
      </c>
      <c r="G127" s="59">
        <v>5</v>
      </c>
      <c r="H127" s="59">
        <v>2</v>
      </c>
      <c r="I127" s="59" t="s">
        <v>9</v>
      </c>
      <c r="J127" s="86">
        <v>0.49513888888888885</v>
      </c>
      <c r="K127" s="59">
        <v>0</v>
      </c>
      <c r="L127" s="59">
        <v>0</v>
      </c>
      <c r="M127" s="59">
        <v>120</v>
      </c>
      <c r="N127" s="59" t="s">
        <v>152</v>
      </c>
      <c r="O127" s="59"/>
    </row>
    <row r="128" spans="1:15" x14ac:dyDescent="0.25">
      <c r="A128" s="59" t="s">
        <v>155</v>
      </c>
      <c r="B128" s="59" t="s">
        <v>103</v>
      </c>
      <c r="C128" s="59" t="s">
        <v>102</v>
      </c>
      <c r="D128" s="59" t="s">
        <v>49</v>
      </c>
      <c r="E128" s="59">
        <v>17</v>
      </c>
      <c r="F128" s="59" t="s">
        <v>54</v>
      </c>
      <c r="G128" s="59">
        <v>6</v>
      </c>
      <c r="H128" s="59">
        <v>1</v>
      </c>
      <c r="I128" s="59" t="s">
        <v>11</v>
      </c>
      <c r="J128" s="86">
        <v>0.49791666666666667</v>
      </c>
      <c r="K128" s="59">
        <v>0</v>
      </c>
      <c r="L128" s="59">
        <v>0</v>
      </c>
      <c r="M128" s="59">
        <v>126</v>
      </c>
      <c r="N128" s="59" t="s">
        <v>152</v>
      </c>
      <c r="O128" s="59"/>
    </row>
    <row r="129" spans="1:15" x14ac:dyDescent="0.25">
      <c r="A129" s="59" t="s">
        <v>155</v>
      </c>
      <c r="B129" s="59" t="s">
        <v>99</v>
      </c>
      <c r="C129" s="59" t="s">
        <v>98</v>
      </c>
      <c r="D129" s="59" t="s">
        <v>49</v>
      </c>
      <c r="E129" s="59">
        <v>14</v>
      </c>
      <c r="F129" s="59" t="s">
        <v>72</v>
      </c>
      <c r="G129" s="59">
        <v>6</v>
      </c>
      <c r="H129" s="59">
        <v>2</v>
      </c>
      <c r="I129" s="59" t="s">
        <v>11</v>
      </c>
      <c r="J129" s="86">
        <v>0.49791666666666667</v>
      </c>
      <c r="K129" s="59">
        <v>0</v>
      </c>
      <c r="L129" s="59">
        <v>0</v>
      </c>
      <c r="M129" s="59">
        <v>140</v>
      </c>
      <c r="N129" s="59" t="s">
        <v>152</v>
      </c>
      <c r="O129" s="59"/>
    </row>
    <row r="130" spans="1:15" x14ac:dyDescent="0.25">
      <c r="A130" s="59" t="s">
        <v>155</v>
      </c>
      <c r="B130" s="59" t="s">
        <v>103</v>
      </c>
      <c r="C130" s="59" t="s">
        <v>102</v>
      </c>
      <c r="D130" s="59" t="s">
        <v>49</v>
      </c>
      <c r="E130" s="59">
        <v>17</v>
      </c>
      <c r="F130" s="59" t="s">
        <v>54</v>
      </c>
      <c r="G130" s="59">
        <v>6</v>
      </c>
      <c r="H130" s="59">
        <v>1</v>
      </c>
      <c r="I130" s="59" t="s">
        <v>12</v>
      </c>
      <c r="J130" s="86">
        <v>0.49861111111111112</v>
      </c>
      <c r="K130" s="59">
        <v>0</v>
      </c>
      <c r="L130" s="59">
        <v>0</v>
      </c>
      <c r="M130" s="59">
        <v>126</v>
      </c>
      <c r="N130" s="59" t="s">
        <v>152</v>
      </c>
      <c r="O130" s="59"/>
    </row>
    <row r="131" spans="1:15" x14ac:dyDescent="0.25">
      <c r="A131" s="59" t="s">
        <v>155</v>
      </c>
      <c r="B131" s="59" t="s">
        <v>99</v>
      </c>
      <c r="C131" s="59" t="s">
        <v>98</v>
      </c>
      <c r="D131" s="59" t="s">
        <v>49</v>
      </c>
      <c r="E131" s="59">
        <v>14</v>
      </c>
      <c r="F131" s="59" t="s">
        <v>72</v>
      </c>
      <c r="G131" s="59">
        <v>6</v>
      </c>
      <c r="H131" s="59">
        <v>2</v>
      </c>
      <c r="I131" s="59" t="s">
        <v>12</v>
      </c>
      <c r="J131" s="86">
        <v>0.49861111111111112</v>
      </c>
      <c r="K131" s="59">
        <v>0</v>
      </c>
      <c r="L131" s="59">
        <v>0</v>
      </c>
      <c r="M131" s="59">
        <v>140</v>
      </c>
      <c r="N131" s="59" t="s">
        <v>152</v>
      </c>
      <c r="O131" s="59"/>
    </row>
    <row r="132" spans="1:15" x14ac:dyDescent="0.25">
      <c r="A132" s="59" t="s">
        <v>155</v>
      </c>
      <c r="B132" s="59" t="s">
        <v>103</v>
      </c>
      <c r="C132" s="59" t="s">
        <v>102</v>
      </c>
      <c r="D132" s="59" t="s">
        <v>49</v>
      </c>
      <c r="E132" s="59">
        <v>17</v>
      </c>
      <c r="F132" s="59" t="s">
        <v>54</v>
      </c>
      <c r="G132" s="59">
        <v>6</v>
      </c>
      <c r="H132" s="59">
        <v>1</v>
      </c>
      <c r="I132" s="59" t="s">
        <v>9</v>
      </c>
      <c r="J132" s="86">
        <v>0.5</v>
      </c>
      <c r="K132" s="59">
        <v>0</v>
      </c>
      <c r="L132" s="59">
        <v>0</v>
      </c>
      <c r="M132" s="59">
        <v>126</v>
      </c>
      <c r="N132" s="59" t="s">
        <v>152</v>
      </c>
      <c r="O132" s="59"/>
    </row>
    <row r="133" spans="1:15" x14ac:dyDescent="0.25">
      <c r="A133" s="59" t="s">
        <v>155</v>
      </c>
      <c r="B133" s="59" t="s">
        <v>99</v>
      </c>
      <c r="C133" s="59" t="s">
        <v>98</v>
      </c>
      <c r="D133" s="59" t="s">
        <v>49</v>
      </c>
      <c r="E133" s="59">
        <v>14</v>
      </c>
      <c r="F133" s="59" t="s">
        <v>72</v>
      </c>
      <c r="G133" s="59">
        <v>6</v>
      </c>
      <c r="H133" s="59">
        <v>2</v>
      </c>
      <c r="I133" s="59" t="s">
        <v>9</v>
      </c>
      <c r="J133" s="86">
        <v>0.5</v>
      </c>
      <c r="K133" s="59">
        <v>0</v>
      </c>
      <c r="L133" s="59">
        <v>0</v>
      </c>
      <c r="M133" s="59">
        <v>140</v>
      </c>
      <c r="N133" s="59" t="s">
        <v>152</v>
      </c>
      <c r="O133" s="59"/>
    </row>
    <row r="134" spans="1:15" x14ac:dyDescent="0.25">
      <c r="A134" s="59" t="s">
        <v>155</v>
      </c>
      <c r="B134" s="59" t="s">
        <v>101</v>
      </c>
      <c r="C134" s="59" t="s">
        <v>100</v>
      </c>
      <c r="D134" s="59" t="s">
        <v>43</v>
      </c>
      <c r="E134" s="59">
        <v>44</v>
      </c>
      <c r="F134" s="59" t="s">
        <v>44</v>
      </c>
      <c r="G134" s="59">
        <v>7</v>
      </c>
      <c r="H134" s="59">
        <v>1</v>
      </c>
      <c r="I134" s="59" t="s">
        <v>11</v>
      </c>
      <c r="J134" s="86">
        <v>0.50277777777777777</v>
      </c>
      <c r="K134" s="59">
        <v>0</v>
      </c>
      <c r="L134" s="59">
        <v>0</v>
      </c>
      <c r="M134" s="59">
        <v>140</v>
      </c>
      <c r="N134" s="59" t="s">
        <v>152</v>
      </c>
      <c r="O134" s="59"/>
    </row>
    <row r="135" spans="1:15" x14ac:dyDescent="0.25">
      <c r="A135" s="59" t="s">
        <v>155</v>
      </c>
      <c r="B135" s="59" t="s">
        <v>97</v>
      </c>
      <c r="C135" s="59" t="s">
        <v>96</v>
      </c>
      <c r="D135" s="59" t="s">
        <v>49</v>
      </c>
      <c r="E135" s="59">
        <v>39</v>
      </c>
      <c r="F135" s="59" t="s">
        <v>51</v>
      </c>
      <c r="G135" s="59">
        <v>7</v>
      </c>
      <c r="H135" s="59">
        <v>2</v>
      </c>
      <c r="I135" s="59" t="s">
        <v>11</v>
      </c>
      <c r="J135" s="86">
        <v>0.50277777777777777</v>
      </c>
      <c r="K135" s="59">
        <v>0</v>
      </c>
      <c r="L135" s="59">
        <v>0</v>
      </c>
      <c r="M135" s="59">
        <v>150</v>
      </c>
      <c r="N135" s="59" t="s">
        <v>152</v>
      </c>
      <c r="O135" s="59"/>
    </row>
    <row r="136" spans="1:15" x14ac:dyDescent="0.25">
      <c r="A136" s="59" t="s">
        <v>155</v>
      </c>
      <c r="B136" s="59" t="s">
        <v>101</v>
      </c>
      <c r="C136" s="59" t="s">
        <v>100</v>
      </c>
      <c r="D136" s="59" t="s">
        <v>43</v>
      </c>
      <c r="E136" s="59">
        <v>44</v>
      </c>
      <c r="F136" s="59" t="s">
        <v>44</v>
      </c>
      <c r="G136" s="59">
        <v>7</v>
      </c>
      <c r="H136" s="59">
        <v>1</v>
      </c>
      <c r="I136" s="59" t="s">
        <v>12</v>
      </c>
      <c r="J136" s="86">
        <v>0.50347222222222221</v>
      </c>
      <c r="K136" s="59">
        <v>0</v>
      </c>
      <c r="L136" s="59">
        <v>0</v>
      </c>
      <c r="M136" s="59">
        <v>140</v>
      </c>
      <c r="N136" s="59" t="s">
        <v>152</v>
      </c>
      <c r="O136" s="59"/>
    </row>
    <row r="137" spans="1:15" x14ac:dyDescent="0.25">
      <c r="A137" s="59" t="s">
        <v>155</v>
      </c>
      <c r="B137" s="59" t="s">
        <v>97</v>
      </c>
      <c r="C137" s="59" t="s">
        <v>96</v>
      </c>
      <c r="D137" s="59" t="s">
        <v>49</v>
      </c>
      <c r="E137" s="59">
        <v>39</v>
      </c>
      <c r="F137" s="59" t="s">
        <v>51</v>
      </c>
      <c r="G137" s="59">
        <v>7</v>
      </c>
      <c r="H137" s="59">
        <v>2</v>
      </c>
      <c r="I137" s="59" t="s">
        <v>12</v>
      </c>
      <c r="J137" s="86">
        <v>0.50347222222222221</v>
      </c>
      <c r="K137" s="59">
        <v>0</v>
      </c>
      <c r="L137" s="59">
        <v>0</v>
      </c>
      <c r="M137" s="59">
        <v>150</v>
      </c>
      <c r="N137" s="59" t="s">
        <v>152</v>
      </c>
      <c r="O137" s="59"/>
    </row>
    <row r="138" spans="1:15" x14ac:dyDescent="0.25">
      <c r="A138" s="59" t="s">
        <v>155</v>
      </c>
      <c r="B138" s="59" t="s">
        <v>101</v>
      </c>
      <c r="C138" s="59" t="s">
        <v>100</v>
      </c>
      <c r="D138" s="59" t="s">
        <v>43</v>
      </c>
      <c r="E138" s="59">
        <v>44</v>
      </c>
      <c r="F138" s="59" t="s">
        <v>44</v>
      </c>
      <c r="G138" s="59">
        <v>7</v>
      </c>
      <c r="H138" s="59">
        <v>1</v>
      </c>
      <c r="I138" s="59" t="s">
        <v>9</v>
      </c>
      <c r="J138" s="86">
        <v>0.50486111111111109</v>
      </c>
      <c r="K138" s="59">
        <v>0</v>
      </c>
      <c r="L138" s="59">
        <v>0</v>
      </c>
      <c r="M138" s="59">
        <v>140</v>
      </c>
      <c r="N138" s="59" t="s">
        <v>152</v>
      </c>
      <c r="O138" s="59"/>
    </row>
    <row r="139" spans="1:15" x14ac:dyDescent="0.25">
      <c r="A139" s="59" t="s">
        <v>155</v>
      </c>
      <c r="B139" s="59" t="s">
        <v>97</v>
      </c>
      <c r="C139" s="59" t="s">
        <v>96</v>
      </c>
      <c r="D139" s="59" t="s">
        <v>49</v>
      </c>
      <c r="E139" s="59">
        <v>39</v>
      </c>
      <c r="F139" s="59" t="s">
        <v>51</v>
      </c>
      <c r="G139" s="59">
        <v>7</v>
      </c>
      <c r="H139" s="59">
        <v>2</v>
      </c>
      <c r="I139" s="59" t="s">
        <v>9</v>
      </c>
      <c r="J139" s="86">
        <v>0.50486111111111109</v>
      </c>
      <c r="K139" s="59">
        <v>0</v>
      </c>
      <c r="L139" s="59">
        <v>0</v>
      </c>
      <c r="M139" s="59">
        <v>150</v>
      </c>
      <c r="N139" s="59" t="s">
        <v>152</v>
      </c>
      <c r="O139" s="59"/>
    </row>
    <row r="140" spans="1:15" x14ac:dyDescent="0.25">
      <c r="A140" s="59" t="s">
        <v>156</v>
      </c>
      <c r="B140" s="59" t="s">
        <v>141</v>
      </c>
      <c r="C140" s="59" t="s">
        <v>140</v>
      </c>
      <c r="D140" s="59" t="s">
        <v>43</v>
      </c>
      <c r="E140" s="59">
        <v>18</v>
      </c>
      <c r="F140" s="59" t="s">
        <v>54</v>
      </c>
      <c r="G140" s="59">
        <v>1</v>
      </c>
      <c r="H140" s="59">
        <v>1</v>
      </c>
      <c r="I140" s="59" t="s">
        <v>10</v>
      </c>
      <c r="J140" s="86">
        <v>0.50555555555555554</v>
      </c>
      <c r="K140" s="59">
        <v>0</v>
      </c>
      <c r="L140" s="59" t="s">
        <v>150</v>
      </c>
      <c r="M140" s="59">
        <v>45</v>
      </c>
      <c r="N140" s="59" t="s">
        <v>151</v>
      </c>
      <c r="O140" s="59"/>
    </row>
    <row r="141" spans="1:15" x14ac:dyDescent="0.25">
      <c r="A141" s="59" t="s">
        <v>156</v>
      </c>
      <c r="B141" s="59" t="s">
        <v>76</v>
      </c>
      <c r="C141" s="59" t="s">
        <v>75</v>
      </c>
      <c r="D141" s="59" t="s">
        <v>43</v>
      </c>
      <c r="E141" s="59">
        <v>22</v>
      </c>
      <c r="F141" s="59" t="s">
        <v>77</v>
      </c>
      <c r="G141" s="59">
        <v>1</v>
      </c>
      <c r="H141" s="59">
        <v>2</v>
      </c>
      <c r="I141" s="59" t="s">
        <v>10</v>
      </c>
      <c r="J141" s="86">
        <v>0.50555555555555554</v>
      </c>
      <c r="K141" s="59">
        <v>0</v>
      </c>
      <c r="L141" s="59" t="s">
        <v>150</v>
      </c>
      <c r="M141" s="59">
        <v>45</v>
      </c>
      <c r="N141" s="59" t="s">
        <v>151</v>
      </c>
      <c r="O141" s="59"/>
    </row>
    <row r="142" spans="1:15" x14ac:dyDescent="0.25">
      <c r="A142" s="59" t="s">
        <v>156</v>
      </c>
      <c r="B142" s="59" t="s">
        <v>139</v>
      </c>
      <c r="C142" s="59" t="s">
        <v>89</v>
      </c>
      <c r="D142" s="59" t="s">
        <v>43</v>
      </c>
      <c r="E142" s="59">
        <v>3</v>
      </c>
      <c r="F142" s="59" t="s">
        <v>46</v>
      </c>
      <c r="G142" s="59">
        <v>1</v>
      </c>
      <c r="H142" s="59">
        <v>3</v>
      </c>
      <c r="I142" s="59" t="s">
        <v>10</v>
      </c>
      <c r="J142" s="86">
        <v>0.50555555555555554</v>
      </c>
      <c r="K142" s="59">
        <v>0</v>
      </c>
      <c r="L142" s="59" t="s">
        <v>150</v>
      </c>
      <c r="M142" s="59">
        <v>50</v>
      </c>
      <c r="N142" s="59" t="s">
        <v>151</v>
      </c>
      <c r="O142" s="59"/>
    </row>
    <row r="143" spans="1:15" x14ac:dyDescent="0.25">
      <c r="A143" s="59" t="s">
        <v>156</v>
      </c>
      <c r="B143" s="59" t="s">
        <v>136</v>
      </c>
      <c r="C143" s="59" t="s">
        <v>135</v>
      </c>
      <c r="D143" s="59" t="s">
        <v>43</v>
      </c>
      <c r="E143" s="59">
        <v>42</v>
      </c>
      <c r="F143" s="59" t="s">
        <v>44</v>
      </c>
      <c r="G143" s="59">
        <v>1</v>
      </c>
      <c r="H143" s="59">
        <v>4</v>
      </c>
      <c r="I143" s="59" t="s">
        <v>10</v>
      </c>
      <c r="J143" s="86">
        <v>0.50555555555555554</v>
      </c>
      <c r="K143" s="59">
        <v>0</v>
      </c>
      <c r="L143" s="59" t="s">
        <v>150</v>
      </c>
      <c r="M143" s="59">
        <v>50</v>
      </c>
      <c r="N143" s="59" t="s">
        <v>151</v>
      </c>
      <c r="O143" s="59"/>
    </row>
    <row r="144" spans="1:15" x14ac:dyDescent="0.25">
      <c r="A144" s="59" t="s">
        <v>155</v>
      </c>
      <c r="B144" s="59" t="s">
        <v>95</v>
      </c>
      <c r="C144" s="59" t="s">
        <v>94</v>
      </c>
      <c r="D144" s="59" t="s">
        <v>49</v>
      </c>
      <c r="E144" s="59">
        <v>40</v>
      </c>
      <c r="F144" s="59" t="s">
        <v>51</v>
      </c>
      <c r="G144" s="59">
        <v>8</v>
      </c>
      <c r="H144" s="59">
        <v>1</v>
      </c>
      <c r="I144" s="59" t="s">
        <v>11</v>
      </c>
      <c r="J144" s="86">
        <v>0.50763888888888886</v>
      </c>
      <c r="K144" s="59">
        <v>0</v>
      </c>
      <c r="L144" s="59">
        <v>0</v>
      </c>
      <c r="M144" s="59">
        <v>150</v>
      </c>
      <c r="N144" s="59" t="s">
        <v>152</v>
      </c>
      <c r="O144" s="59"/>
    </row>
    <row r="145" spans="1:15" x14ac:dyDescent="0.25">
      <c r="A145" s="59" t="s">
        <v>155</v>
      </c>
      <c r="B145" s="59" t="s">
        <v>93</v>
      </c>
      <c r="C145" s="59" t="s">
        <v>62</v>
      </c>
      <c r="D145" s="59" t="s">
        <v>43</v>
      </c>
      <c r="E145" s="59">
        <v>23</v>
      </c>
      <c r="F145" s="59" t="s">
        <v>77</v>
      </c>
      <c r="G145" s="59">
        <v>8</v>
      </c>
      <c r="H145" s="59">
        <v>2</v>
      </c>
      <c r="I145" s="59" t="s">
        <v>11</v>
      </c>
      <c r="J145" s="86">
        <v>0.50763888888888886</v>
      </c>
      <c r="K145" s="59">
        <v>0</v>
      </c>
      <c r="L145" s="59">
        <v>0</v>
      </c>
      <c r="M145" s="59">
        <v>175</v>
      </c>
      <c r="N145" s="59" t="s">
        <v>152</v>
      </c>
      <c r="O145" s="59"/>
    </row>
    <row r="146" spans="1:15" x14ac:dyDescent="0.25">
      <c r="A146" s="59" t="s">
        <v>155</v>
      </c>
      <c r="B146" s="59" t="s">
        <v>95</v>
      </c>
      <c r="C146" s="59" t="s">
        <v>94</v>
      </c>
      <c r="D146" s="59" t="s">
        <v>49</v>
      </c>
      <c r="E146" s="59">
        <v>40</v>
      </c>
      <c r="F146" s="59" t="s">
        <v>51</v>
      </c>
      <c r="G146" s="59">
        <v>8</v>
      </c>
      <c r="H146" s="59">
        <v>1</v>
      </c>
      <c r="I146" s="59" t="s">
        <v>12</v>
      </c>
      <c r="J146" s="86">
        <v>0.5083333333333333</v>
      </c>
      <c r="K146" s="59">
        <v>0</v>
      </c>
      <c r="L146" s="59">
        <v>0</v>
      </c>
      <c r="M146" s="59">
        <v>150</v>
      </c>
      <c r="N146" s="59" t="s">
        <v>152</v>
      </c>
      <c r="O146" s="59"/>
    </row>
    <row r="147" spans="1:15" x14ac:dyDescent="0.25">
      <c r="A147" s="59" t="s">
        <v>155</v>
      </c>
      <c r="B147" s="59" t="s">
        <v>93</v>
      </c>
      <c r="C147" s="59" t="s">
        <v>62</v>
      </c>
      <c r="D147" s="59" t="s">
        <v>43</v>
      </c>
      <c r="E147" s="59">
        <v>23</v>
      </c>
      <c r="F147" s="59" t="s">
        <v>77</v>
      </c>
      <c r="G147" s="59">
        <v>8</v>
      </c>
      <c r="H147" s="59">
        <v>2</v>
      </c>
      <c r="I147" s="59" t="s">
        <v>12</v>
      </c>
      <c r="J147" s="86">
        <v>0.5083333333333333</v>
      </c>
      <c r="K147" s="59">
        <v>0</v>
      </c>
      <c r="L147" s="59">
        <v>0</v>
      </c>
      <c r="M147" s="59">
        <v>175</v>
      </c>
      <c r="N147" s="59" t="s">
        <v>152</v>
      </c>
      <c r="O147" s="59"/>
    </row>
    <row r="148" spans="1:15" x14ac:dyDescent="0.25">
      <c r="A148" s="59" t="s">
        <v>155</v>
      </c>
      <c r="B148" s="59" t="s">
        <v>95</v>
      </c>
      <c r="C148" s="59" t="s">
        <v>94</v>
      </c>
      <c r="D148" s="59" t="s">
        <v>49</v>
      </c>
      <c r="E148" s="59">
        <v>40</v>
      </c>
      <c r="F148" s="59" t="s">
        <v>51</v>
      </c>
      <c r="G148" s="59">
        <v>8</v>
      </c>
      <c r="H148" s="59">
        <v>1</v>
      </c>
      <c r="I148" s="59" t="s">
        <v>9</v>
      </c>
      <c r="J148" s="86">
        <v>0.50972222222222219</v>
      </c>
      <c r="K148" s="59">
        <v>0</v>
      </c>
      <c r="L148" s="59">
        <v>0</v>
      </c>
      <c r="M148" s="59">
        <v>150</v>
      </c>
      <c r="N148" s="59" t="s">
        <v>152</v>
      </c>
      <c r="O148" s="59"/>
    </row>
    <row r="149" spans="1:15" x14ac:dyDescent="0.25">
      <c r="A149" s="59" t="s">
        <v>155</v>
      </c>
      <c r="B149" s="59" t="s">
        <v>93</v>
      </c>
      <c r="C149" s="59" t="s">
        <v>62</v>
      </c>
      <c r="D149" s="59" t="s">
        <v>43</v>
      </c>
      <c r="E149" s="59">
        <v>23</v>
      </c>
      <c r="F149" s="59" t="s">
        <v>77</v>
      </c>
      <c r="G149" s="59">
        <v>8</v>
      </c>
      <c r="H149" s="59">
        <v>2</v>
      </c>
      <c r="I149" s="59" t="s">
        <v>9</v>
      </c>
      <c r="J149" s="86">
        <v>0.50972222222222219</v>
      </c>
      <c r="K149" s="59">
        <v>0</v>
      </c>
      <c r="L149" s="59">
        <v>0</v>
      </c>
      <c r="M149" s="59">
        <v>175</v>
      </c>
      <c r="N149" s="59" t="s">
        <v>152</v>
      </c>
      <c r="O149" s="59"/>
    </row>
    <row r="150" spans="1:15" x14ac:dyDescent="0.25">
      <c r="A150" s="59" t="s">
        <v>155</v>
      </c>
      <c r="B150" s="59" t="s">
        <v>92</v>
      </c>
      <c r="C150" s="59" t="s">
        <v>91</v>
      </c>
      <c r="D150" s="59" t="s">
        <v>43</v>
      </c>
      <c r="E150" s="59">
        <v>11</v>
      </c>
      <c r="F150" s="59" t="s">
        <v>72</v>
      </c>
      <c r="G150" s="59">
        <v>9</v>
      </c>
      <c r="H150" s="59">
        <v>1</v>
      </c>
      <c r="I150" s="59" t="s">
        <v>11</v>
      </c>
      <c r="J150" s="86">
        <v>0.51249999999999996</v>
      </c>
      <c r="K150" s="59">
        <v>0</v>
      </c>
      <c r="L150" s="59">
        <v>0</v>
      </c>
      <c r="M150" s="59">
        <v>200</v>
      </c>
      <c r="N150" s="59" t="s">
        <v>152</v>
      </c>
      <c r="O150" s="59"/>
    </row>
    <row r="151" spans="1:15" x14ac:dyDescent="0.25">
      <c r="A151" s="59" t="s">
        <v>155</v>
      </c>
      <c r="B151" s="59" t="s">
        <v>90</v>
      </c>
      <c r="C151" s="59" t="s">
        <v>89</v>
      </c>
      <c r="D151" s="59" t="s">
        <v>43</v>
      </c>
      <c r="E151" s="59">
        <v>2</v>
      </c>
      <c r="F151" s="59" t="s">
        <v>46</v>
      </c>
      <c r="G151" s="59">
        <v>9</v>
      </c>
      <c r="H151" s="59">
        <v>2</v>
      </c>
      <c r="I151" s="59" t="s">
        <v>11</v>
      </c>
      <c r="J151" s="86">
        <v>0.51249999999999996</v>
      </c>
      <c r="K151" s="59">
        <v>0</v>
      </c>
      <c r="L151" s="59">
        <v>0</v>
      </c>
      <c r="M151" s="59">
        <v>200</v>
      </c>
      <c r="N151" s="59" t="s">
        <v>152</v>
      </c>
      <c r="O151" s="59"/>
    </row>
    <row r="152" spans="1:15" x14ac:dyDescent="0.25">
      <c r="A152" s="59" t="s">
        <v>155</v>
      </c>
      <c r="B152" s="59" t="s">
        <v>92</v>
      </c>
      <c r="C152" s="59" t="s">
        <v>91</v>
      </c>
      <c r="D152" s="59" t="s">
        <v>43</v>
      </c>
      <c r="E152" s="59">
        <v>11</v>
      </c>
      <c r="F152" s="59" t="s">
        <v>72</v>
      </c>
      <c r="G152" s="59">
        <v>9</v>
      </c>
      <c r="H152" s="59">
        <v>1</v>
      </c>
      <c r="I152" s="59" t="s">
        <v>12</v>
      </c>
      <c r="J152" s="86">
        <v>0.5131944444444444</v>
      </c>
      <c r="K152" s="59">
        <v>0</v>
      </c>
      <c r="L152" s="59">
        <v>0</v>
      </c>
      <c r="M152" s="59">
        <v>200</v>
      </c>
      <c r="N152" s="59" t="s">
        <v>152</v>
      </c>
      <c r="O152" s="59"/>
    </row>
    <row r="153" spans="1:15" x14ac:dyDescent="0.25">
      <c r="A153" s="59" t="s">
        <v>155</v>
      </c>
      <c r="B153" s="59" t="s">
        <v>90</v>
      </c>
      <c r="C153" s="59" t="s">
        <v>89</v>
      </c>
      <c r="D153" s="59" t="s">
        <v>43</v>
      </c>
      <c r="E153" s="59">
        <v>2</v>
      </c>
      <c r="F153" s="59" t="s">
        <v>46</v>
      </c>
      <c r="G153" s="59">
        <v>9</v>
      </c>
      <c r="H153" s="59">
        <v>2</v>
      </c>
      <c r="I153" s="59" t="s">
        <v>12</v>
      </c>
      <c r="J153" s="86">
        <v>0.5131944444444444</v>
      </c>
      <c r="K153" s="59">
        <v>0</v>
      </c>
      <c r="L153" s="59">
        <v>0</v>
      </c>
      <c r="M153" s="59">
        <v>200</v>
      </c>
      <c r="N153" s="59" t="s">
        <v>152</v>
      </c>
      <c r="O153" s="59"/>
    </row>
    <row r="154" spans="1:15" x14ac:dyDescent="0.25">
      <c r="A154" s="59" t="s">
        <v>155</v>
      </c>
      <c r="B154" s="59" t="s">
        <v>92</v>
      </c>
      <c r="C154" s="59" t="s">
        <v>91</v>
      </c>
      <c r="D154" s="59" t="s">
        <v>43</v>
      </c>
      <c r="E154" s="59">
        <v>11</v>
      </c>
      <c r="F154" s="59" t="s">
        <v>72</v>
      </c>
      <c r="G154" s="59">
        <v>9</v>
      </c>
      <c r="H154" s="59">
        <v>1</v>
      </c>
      <c r="I154" s="59" t="s">
        <v>9</v>
      </c>
      <c r="J154" s="86">
        <v>0.51458333333333328</v>
      </c>
      <c r="K154" s="59">
        <v>0</v>
      </c>
      <c r="L154" s="59">
        <v>0</v>
      </c>
      <c r="M154" s="59">
        <v>200</v>
      </c>
      <c r="N154" s="59" t="s">
        <v>152</v>
      </c>
      <c r="O154" s="59"/>
    </row>
    <row r="155" spans="1:15" x14ac:dyDescent="0.25">
      <c r="A155" s="59" t="s">
        <v>155</v>
      </c>
      <c r="B155" s="59" t="s">
        <v>90</v>
      </c>
      <c r="C155" s="59" t="s">
        <v>89</v>
      </c>
      <c r="D155" s="59" t="s">
        <v>43</v>
      </c>
      <c r="E155" s="59">
        <v>2</v>
      </c>
      <c r="F155" s="59" t="s">
        <v>46</v>
      </c>
      <c r="G155" s="59">
        <v>9</v>
      </c>
      <c r="H155" s="59">
        <v>2</v>
      </c>
      <c r="I155" s="59" t="s">
        <v>9</v>
      </c>
      <c r="J155" s="86">
        <v>0.51458333333333328</v>
      </c>
      <c r="K155" s="59">
        <v>0</v>
      </c>
      <c r="L155" s="59">
        <v>0</v>
      </c>
      <c r="M155" s="59">
        <v>200</v>
      </c>
      <c r="N155" s="59" t="s">
        <v>152</v>
      </c>
      <c r="O155" s="59"/>
    </row>
    <row r="156" spans="1:15" x14ac:dyDescent="0.25">
      <c r="A156" s="59" t="s">
        <v>156</v>
      </c>
      <c r="B156" s="59" t="s">
        <v>138</v>
      </c>
      <c r="C156" s="59" t="s">
        <v>137</v>
      </c>
      <c r="D156" s="59" t="s">
        <v>43</v>
      </c>
      <c r="E156" s="59">
        <v>9</v>
      </c>
      <c r="F156" s="59" t="s">
        <v>59</v>
      </c>
      <c r="G156" s="59">
        <v>2</v>
      </c>
      <c r="H156" s="59">
        <v>1</v>
      </c>
      <c r="I156" s="59" t="s">
        <v>10</v>
      </c>
      <c r="J156" s="86">
        <v>0.52152777777777781</v>
      </c>
      <c r="K156" s="59">
        <v>0</v>
      </c>
      <c r="L156" s="59" t="s">
        <v>150</v>
      </c>
      <c r="M156" s="59">
        <v>50</v>
      </c>
      <c r="N156" s="59" t="s">
        <v>151</v>
      </c>
      <c r="O156" s="59"/>
    </row>
    <row r="157" spans="1:15" x14ac:dyDescent="0.25">
      <c r="A157" s="59" t="s">
        <v>156</v>
      </c>
      <c r="B157" s="59" t="s">
        <v>134</v>
      </c>
      <c r="C157" s="59" t="s">
        <v>133</v>
      </c>
      <c r="D157" s="59" t="s">
        <v>43</v>
      </c>
      <c r="E157" s="59">
        <v>1</v>
      </c>
      <c r="F157" s="59" t="s">
        <v>46</v>
      </c>
      <c r="G157" s="59">
        <v>2</v>
      </c>
      <c r="H157" s="59">
        <v>2</v>
      </c>
      <c r="I157" s="59" t="s">
        <v>10</v>
      </c>
      <c r="J157" s="86">
        <v>0.52152777777777781</v>
      </c>
      <c r="K157" s="59">
        <v>0</v>
      </c>
      <c r="L157" s="59" t="s">
        <v>150</v>
      </c>
      <c r="M157" s="59">
        <v>50</v>
      </c>
      <c r="N157" s="59" t="s">
        <v>151</v>
      </c>
      <c r="O157" s="59"/>
    </row>
    <row r="158" spans="1:15" x14ac:dyDescent="0.25">
      <c r="A158" s="59" t="s">
        <v>156</v>
      </c>
      <c r="B158" s="59" t="s">
        <v>84</v>
      </c>
      <c r="C158" s="59" t="s">
        <v>75</v>
      </c>
      <c r="D158" s="59" t="s">
        <v>43</v>
      </c>
      <c r="E158" s="59">
        <v>21</v>
      </c>
      <c r="F158" s="59" t="s">
        <v>77</v>
      </c>
      <c r="G158" s="59">
        <v>2</v>
      </c>
      <c r="H158" s="59">
        <v>3</v>
      </c>
      <c r="I158" s="59" t="s">
        <v>10</v>
      </c>
      <c r="J158" s="86">
        <v>0.52152777777777781</v>
      </c>
      <c r="K158" s="59">
        <v>0</v>
      </c>
      <c r="L158" s="59" t="s">
        <v>150</v>
      </c>
      <c r="M158" s="59">
        <v>55</v>
      </c>
      <c r="N158" s="59" t="s">
        <v>151</v>
      </c>
      <c r="O158" s="59"/>
    </row>
    <row r="159" spans="1:15" x14ac:dyDescent="0.25">
      <c r="A159" s="59" t="s">
        <v>156</v>
      </c>
      <c r="B159" s="59" t="s">
        <v>132</v>
      </c>
      <c r="C159" s="59" t="s">
        <v>85</v>
      </c>
      <c r="D159" s="59" t="s">
        <v>43</v>
      </c>
      <c r="E159" s="59">
        <v>32</v>
      </c>
      <c r="F159" s="59" t="s">
        <v>64</v>
      </c>
      <c r="G159" s="59">
        <v>2</v>
      </c>
      <c r="H159" s="59">
        <v>4</v>
      </c>
      <c r="I159" s="59" t="s">
        <v>10</v>
      </c>
      <c r="J159" s="86">
        <v>0.52152777777777781</v>
      </c>
      <c r="K159" s="59">
        <v>1</v>
      </c>
      <c r="L159" s="59" t="s">
        <v>150</v>
      </c>
      <c r="M159" s="59">
        <v>0</v>
      </c>
      <c r="N159" s="59" t="s">
        <v>151</v>
      </c>
      <c r="O159" s="59"/>
    </row>
    <row r="160" spans="1:15" x14ac:dyDescent="0.25">
      <c r="A160" s="59" t="s">
        <v>156</v>
      </c>
      <c r="B160" s="59" t="s">
        <v>141</v>
      </c>
      <c r="C160" s="59" t="s">
        <v>140</v>
      </c>
      <c r="D160" s="59" t="s">
        <v>43</v>
      </c>
      <c r="E160" s="59">
        <v>18</v>
      </c>
      <c r="F160" s="59" t="s">
        <v>54</v>
      </c>
      <c r="G160" s="59">
        <v>1</v>
      </c>
      <c r="H160" s="59">
        <v>1</v>
      </c>
      <c r="I160" s="59" t="s">
        <v>11</v>
      </c>
      <c r="J160" s="86">
        <v>0.52430555555555558</v>
      </c>
      <c r="K160" s="59">
        <v>0</v>
      </c>
      <c r="L160" s="59" t="s">
        <v>150</v>
      </c>
      <c r="M160" s="59">
        <v>45</v>
      </c>
      <c r="N160" s="59" t="s">
        <v>151</v>
      </c>
      <c r="O160" s="59"/>
    </row>
    <row r="161" spans="1:15" x14ac:dyDescent="0.25">
      <c r="A161" s="59" t="s">
        <v>156</v>
      </c>
      <c r="B161" s="59" t="s">
        <v>76</v>
      </c>
      <c r="C161" s="59" t="s">
        <v>75</v>
      </c>
      <c r="D161" s="59" t="s">
        <v>43</v>
      </c>
      <c r="E161" s="59">
        <v>22</v>
      </c>
      <c r="F161" s="59" t="s">
        <v>77</v>
      </c>
      <c r="G161" s="59">
        <v>1</v>
      </c>
      <c r="H161" s="59">
        <v>2</v>
      </c>
      <c r="I161" s="59" t="s">
        <v>11</v>
      </c>
      <c r="J161" s="86">
        <v>0.52430555555555558</v>
      </c>
      <c r="K161" s="59">
        <v>0</v>
      </c>
      <c r="L161" s="59" t="s">
        <v>150</v>
      </c>
      <c r="M161" s="59">
        <v>45</v>
      </c>
      <c r="N161" s="59" t="s">
        <v>151</v>
      </c>
      <c r="O161" s="59"/>
    </row>
    <row r="162" spans="1:15" x14ac:dyDescent="0.25">
      <c r="A162" s="59" t="s">
        <v>156</v>
      </c>
      <c r="B162" s="59" t="s">
        <v>139</v>
      </c>
      <c r="C162" s="59" t="s">
        <v>89</v>
      </c>
      <c r="D162" s="59" t="s">
        <v>43</v>
      </c>
      <c r="E162" s="59">
        <v>3</v>
      </c>
      <c r="F162" s="59" t="s">
        <v>46</v>
      </c>
      <c r="G162" s="59">
        <v>1</v>
      </c>
      <c r="H162" s="59">
        <v>3</v>
      </c>
      <c r="I162" s="59" t="s">
        <v>11</v>
      </c>
      <c r="J162" s="86">
        <v>0.52430555555555558</v>
      </c>
      <c r="K162" s="59">
        <v>0</v>
      </c>
      <c r="L162" s="59" t="s">
        <v>150</v>
      </c>
      <c r="M162" s="59">
        <v>50</v>
      </c>
      <c r="N162" s="59" t="s">
        <v>151</v>
      </c>
      <c r="O162" s="59"/>
    </row>
    <row r="163" spans="1:15" x14ac:dyDescent="0.25">
      <c r="A163" s="59" t="s">
        <v>156</v>
      </c>
      <c r="B163" s="59" t="s">
        <v>136</v>
      </c>
      <c r="C163" s="59" t="s">
        <v>135</v>
      </c>
      <c r="D163" s="59" t="s">
        <v>43</v>
      </c>
      <c r="E163" s="59">
        <v>42</v>
      </c>
      <c r="F163" s="59" t="s">
        <v>44</v>
      </c>
      <c r="G163" s="59">
        <v>1</v>
      </c>
      <c r="H163" s="59">
        <v>4</v>
      </c>
      <c r="I163" s="59" t="s">
        <v>11</v>
      </c>
      <c r="J163" s="86">
        <v>0.52430555555555558</v>
      </c>
      <c r="K163" s="59">
        <v>0</v>
      </c>
      <c r="L163" s="59" t="s">
        <v>150</v>
      </c>
      <c r="M163" s="59">
        <v>50</v>
      </c>
      <c r="N163" s="59" t="s">
        <v>151</v>
      </c>
      <c r="O163" s="59"/>
    </row>
    <row r="164" spans="1:15" x14ac:dyDescent="0.25">
      <c r="A164" s="59" t="s">
        <v>156</v>
      </c>
      <c r="B164" s="59" t="s">
        <v>141</v>
      </c>
      <c r="C164" s="59" t="s">
        <v>140</v>
      </c>
      <c r="D164" s="59" t="s">
        <v>43</v>
      </c>
      <c r="E164" s="59">
        <v>18</v>
      </c>
      <c r="F164" s="59" t="s">
        <v>54</v>
      </c>
      <c r="G164" s="59">
        <v>1</v>
      </c>
      <c r="H164" s="59">
        <v>1</v>
      </c>
      <c r="I164" s="59" t="s">
        <v>12</v>
      </c>
      <c r="J164" s="86">
        <v>0.52500000000000002</v>
      </c>
      <c r="K164" s="59">
        <v>0</v>
      </c>
      <c r="L164" s="59" t="s">
        <v>150</v>
      </c>
      <c r="M164" s="59">
        <v>45</v>
      </c>
      <c r="N164" s="59" t="s">
        <v>151</v>
      </c>
      <c r="O164" s="59"/>
    </row>
    <row r="165" spans="1:15" x14ac:dyDescent="0.25">
      <c r="A165" s="59" t="s">
        <v>156</v>
      </c>
      <c r="B165" s="59" t="s">
        <v>76</v>
      </c>
      <c r="C165" s="59" t="s">
        <v>75</v>
      </c>
      <c r="D165" s="59" t="s">
        <v>43</v>
      </c>
      <c r="E165" s="59">
        <v>22</v>
      </c>
      <c r="F165" s="59" t="s">
        <v>77</v>
      </c>
      <c r="G165" s="59">
        <v>1</v>
      </c>
      <c r="H165" s="59">
        <v>2</v>
      </c>
      <c r="I165" s="59" t="s">
        <v>12</v>
      </c>
      <c r="J165" s="86">
        <v>0.52500000000000002</v>
      </c>
      <c r="K165" s="59">
        <v>0</v>
      </c>
      <c r="L165" s="59" t="s">
        <v>150</v>
      </c>
      <c r="M165" s="59">
        <v>45</v>
      </c>
      <c r="N165" s="59" t="s">
        <v>151</v>
      </c>
      <c r="O165" s="59"/>
    </row>
    <row r="166" spans="1:15" x14ac:dyDescent="0.25">
      <c r="A166" s="59" t="s">
        <v>156</v>
      </c>
      <c r="B166" s="59" t="s">
        <v>139</v>
      </c>
      <c r="C166" s="59" t="s">
        <v>89</v>
      </c>
      <c r="D166" s="59" t="s">
        <v>43</v>
      </c>
      <c r="E166" s="59">
        <v>3</v>
      </c>
      <c r="F166" s="59" t="s">
        <v>46</v>
      </c>
      <c r="G166" s="59">
        <v>1</v>
      </c>
      <c r="H166" s="59">
        <v>3</v>
      </c>
      <c r="I166" s="59" t="s">
        <v>12</v>
      </c>
      <c r="J166" s="86">
        <v>0.52500000000000002</v>
      </c>
      <c r="K166" s="59">
        <v>0</v>
      </c>
      <c r="L166" s="59" t="s">
        <v>150</v>
      </c>
      <c r="M166" s="59">
        <v>50</v>
      </c>
      <c r="N166" s="59" t="s">
        <v>151</v>
      </c>
      <c r="O166" s="59"/>
    </row>
    <row r="167" spans="1:15" x14ac:dyDescent="0.25">
      <c r="A167" s="59" t="s">
        <v>156</v>
      </c>
      <c r="B167" s="59" t="s">
        <v>136</v>
      </c>
      <c r="C167" s="59" t="s">
        <v>135</v>
      </c>
      <c r="D167" s="59" t="s">
        <v>43</v>
      </c>
      <c r="E167" s="59">
        <v>42</v>
      </c>
      <c r="F167" s="59" t="s">
        <v>44</v>
      </c>
      <c r="G167" s="59">
        <v>1</v>
      </c>
      <c r="H167" s="59">
        <v>4</v>
      </c>
      <c r="I167" s="59" t="s">
        <v>12</v>
      </c>
      <c r="J167" s="86">
        <v>0.52500000000000002</v>
      </c>
      <c r="K167" s="59">
        <v>0</v>
      </c>
      <c r="L167" s="59" t="s">
        <v>150</v>
      </c>
      <c r="M167" s="59">
        <v>50</v>
      </c>
      <c r="N167" s="59" t="s">
        <v>151</v>
      </c>
      <c r="O167" s="59"/>
    </row>
    <row r="168" spans="1:15" x14ac:dyDescent="0.25">
      <c r="A168" s="59" t="s">
        <v>156</v>
      </c>
      <c r="B168" s="59" t="s">
        <v>141</v>
      </c>
      <c r="C168" s="59" t="s">
        <v>140</v>
      </c>
      <c r="D168" s="59" t="s">
        <v>43</v>
      </c>
      <c r="E168" s="59">
        <v>18</v>
      </c>
      <c r="F168" s="59" t="s">
        <v>54</v>
      </c>
      <c r="G168" s="59">
        <v>1</v>
      </c>
      <c r="H168" s="59">
        <v>1</v>
      </c>
      <c r="I168" s="59" t="s">
        <v>9</v>
      </c>
      <c r="J168" s="86">
        <v>0.52638888888888891</v>
      </c>
      <c r="K168" s="59">
        <v>0</v>
      </c>
      <c r="L168" s="59" t="s">
        <v>150</v>
      </c>
      <c r="M168" s="59">
        <v>45</v>
      </c>
      <c r="N168" s="59" t="s">
        <v>151</v>
      </c>
      <c r="O168" s="59"/>
    </row>
    <row r="169" spans="1:15" x14ac:dyDescent="0.25">
      <c r="A169" s="59" t="s">
        <v>156</v>
      </c>
      <c r="B169" s="59" t="s">
        <v>76</v>
      </c>
      <c r="C169" s="59" t="s">
        <v>75</v>
      </c>
      <c r="D169" s="59" t="s">
        <v>43</v>
      </c>
      <c r="E169" s="59">
        <v>22</v>
      </c>
      <c r="F169" s="59" t="s">
        <v>77</v>
      </c>
      <c r="G169" s="59">
        <v>1</v>
      </c>
      <c r="H169" s="59">
        <v>2</v>
      </c>
      <c r="I169" s="59" t="s">
        <v>9</v>
      </c>
      <c r="J169" s="86">
        <v>0.52638888888888891</v>
      </c>
      <c r="K169" s="59">
        <v>0</v>
      </c>
      <c r="L169" s="59" t="s">
        <v>150</v>
      </c>
      <c r="M169" s="59">
        <v>45</v>
      </c>
      <c r="N169" s="59" t="s">
        <v>151</v>
      </c>
      <c r="O169" s="59"/>
    </row>
    <row r="170" spans="1:15" x14ac:dyDescent="0.25">
      <c r="A170" s="59" t="s">
        <v>156</v>
      </c>
      <c r="B170" s="59" t="s">
        <v>139</v>
      </c>
      <c r="C170" s="59" t="s">
        <v>89</v>
      </c>
      <c r="D170" s="59" t="s">
        <v>43</v>
      </c>
      <c r="E170" s="59">
        <v>3</v>
      </c>
      <c r="F170" s="59" t="s">
        <v>46</v>
      </c>
      <c r="G170" s="59">
        <v>1</v>
      </c>
      <c r="H170" s="59">
        <v>3</v>
      </c>
      <c r="I170" s="59" t="s">
        <v>9</v>
      </c>
      <c r="J170" s="86">
        <v>0.52638888888888891</v>
      </c>
      <c r="K170" s="59">
        <v>0</v>
      </c>
      <c r="L170" s="59" t="s">
        <v>150</v>
      </c>
      <c r="M170" s="59">
        <v>50</v>
      </c>
      <c r="N170" s="59" t="s">
        <v>151</v>
      </c>
      <c r="O170" s="59"/>
    </row>
    <row r="171" spans="1:15" x14ac:dyDescent="0.25">
      <c r="A171" s="59" t="s">
        <v>156</v>
      </c>
      <c r="B171" s="59" t="s">
        <v>136</v>
      </c>
      <c r="C171" s="59" t="s">
        <v>135</v>
      </c>
      <c r="D171" s="59" t="s">
        <v>43</v>
      </c>
      <c r="E171" s="59">
        <v>42</v>
      </c>
      <c r="F171" s="59" t="s">
        <v>44</v>
      </c>
      <c r="G171" s="59">
        <v>1</v>
      </c>
      <c r="H171" s="59">
        <v>4</v>
      </c>
      <c r="I171" s="59" t="s">
        <v>9</v>
      </c>
      <c r="J171" s="86">
        <v>0.52638888888888891</v>
      </c>
      <c r="K171" s="59">
        <v>0</v>
      </c>
      <c r="L171" s="59" t="s">
        <v>150</v>
      </c>
      <c r="M171" s="59">
        <v>50</v>
      </c>
      <c r="N171" s="59" t="s">
        <v>151</v>
      </c>
      <c r="O171" s="59"/>
    </row>
    <row r="172" spans="1:15" x14ac:dyDescent="0.25">
      <c r="A172" s="59" t="s">
        <v>156</v>
      </c>
      <c r="B172" s="59" t="s">
        <v>50</v>
      </c>
      <c r="C172" s="59" t="s">
        <v>45</v>
      </c>
      <c r="D172" s="59" t="s">
        <v>43</v>
      </c>
      <c r="E172" s="59">
        <v>37</v>
      </c>
      <c r="F172" s="59" t="s">
        <v>51</v>
      </c>
      <c r="G172" s="59">
        <v>3</v>
      </c>
      <c r="H172" s="59">
        <v>1</v>
      </c>
      <c r="I172" s="59" t="s">
        <v>10</v>
      </c>
      <c r="J172" s="86">
        <v>0.53749999999999998</v>
      </c>
      <c r="K172" s="59">
        <v>1</v>
      </c>
      <c r="L172" s="59" t="s">
        <v>150</v>
      </c>
      <c r="M172" s="59">
        <v>0</v>
      </c>
      <c r="N172" s="59" t="s">
        <v>151</v>
      </c>
      <c r="O172" s="59"/>
    </row>
    <row r="173" spans="1:15" x14ac:dyDescent="0.25">
      <c r="A173" s="59" t="s">
        <v>156</v>
      </c>
      <c r="B173" s="59" t="s">
        <v>131</v>
      </c>
      <c r="C173" s="59" t="s">
        <v>130</v>
      </c>
      <c r="D173" s="59" t="s">
        <v>43</v>
      </c>
      <c r="E173" s="59">
        <v>36</v>
      </c>
      <c r="F173" s="59" t="s">
        <v>51</v>
      </c>
      <c r="G173" s="59">
        <v>3</v>
      </c>
      <c r="H173" s="59">
        <v>2</v>
      </c>
      <c r="I173" s="59" t="s">
        <v>10</v>
      </c>
      <c r="J173" s="86">
        <v>0.53749999999999998</v>
      </c>
      <c r="K173" s="59">
        <v>1</v>
      </c>
      <c r="L173" s="59" t="s">
        <v>150</v>
      </c>
      <c r="M173" s="59">
        <v>0</v>
      </c>
      <c r="N173" s="59" t="s">
        <v>151</v>
      </c>
      <c r="O173" s="59"/>
    </row>
    <row r="174" spans="1:15" x14ac:dyDescent="0.25">
      <c r="A174" s="59" t="s">
        <v>156</v>
      </c>
      <c r="B174" s="59" t="s">
        <v>84</v>
      </c>
      <c r="C174" s="59" t="s">
        <v>83</v>
      </c>
      <c r="D174" s="59" t="s">
        <v>43</v>
      </c>
      <c r="E174" s="59">
        <v>27</v>
      </c>
      <c r="F174" s="59" t="s">
        <v>69</v>
      </c>
      <c r="G174" s="59">
        <v>3</v>
      </c>
      <c r="H174" s="59">
        <v>3</v>
      </c>
      <c r="I174" s="59" t="s">
        <v>10</v>
      </c>
      <c r="J174" s="86">
        <v>0.53749999999999998</v>
      </c>
      <c r="K174" s="59">
        <v>1</v>
      </c>
      <c r="L174" s="59" t="s">
        <v>150</v>
      </c>
      <c r="M174" s="59">
        <v>0</v>
      </c>
      <c r="N174" s="59" t="s">
        <v>151</v>
      </c>
      <c r="O174" s="59"/>
    </row>
    <row r="175" spans="1:15" x14ac:dyDescent="0.25">
      <c r="A175" s="59" t="s">
        <v>156</v>
      </c>
      <c r="B175" s="59" t="s">
        <v>129</v>
      </c>
      <c r="C175" s="59" t="s">
        <v>128</v>
      </c>
      <c r="D175" s="59" t="s">
        <v>43</v>
      </c>
      <c r="E175" s="59">
        <v>45</v>
      </c>
      <c r="F175" s="59" t="s">
        <v>44</v>
      </c>
      <c r="G175" s="59">
        <v>3</v>
      </c>
      <c r="H175" s="59">
        <v>4</v>
      </c>
      <c r="I175" s="59" t="s">
        <v>10</v>
      </c>
      <c r="J175" s="86">
        <v>0.53749999999999998</v>
      </c>
      <c r="K175" s="59">
        <v>1</v>
      </c>
      <c r="L175" s="59" t="s">
        <v>150</v>
      </c>
      <c r="M175" s="59">
        <v>5</v>
      </c>
      <c r="N175" s="59" t="s">
        <v>151</v>
      </c>
      <c r="O175" s="59"/>
    </row>
    <row r="176" spans="1:15" x14ac:dyDescent="0.25">
      <c r="A176" s="59" t="s">
        <v>156</v>
      </c>
      <c r="B176" s="59" t="s">
        <v>138</v>
      </c>
      <c r="C176" s="59" t="s">
        <v>137</v>
      </c>
      <c r="D176" s="59" t="s">
        <v>43</v>
      </c>
      <c r="E176" s="59">
        <v>9</v>
      </c>
      <c r="F176" s="59" t="s">
        <v>59</v>
      </c>
      <c r="G176" s="59">
        <v>2</v>
      </c>
      <c r="H176" s="59">
        <v>1</v>
      </c>
      <c r="I176" s="59" t="s">
        <v>11</v>
      </c>
      <c r="J176" s="86">
        <v>0.54027777777777786</v>
      </c>
      <c r="K176" s="59">
        <v>0</v>
      </c>
      <c r="L176" s="59" t="s">
        <v>150</v>
      </c>
      <c r="M176" s="59">
        <v>50</v>
      </c>
      <c r="N176" s="59" t="s">
        <v>151</v>
      </c>
      <c r="O176" s="59"/>
    </row>
    <row r="177" spans="1:15" x14ac:dyDescent="0.25">
      <c r="A177" s="59" t="s">
        <v>156</v>
      </c>
      <c r="B177" s="59" t="s">
        <v>134</v>
      </c>
      <c r="C177" s="59" t="s">
        <v>133</v>
      </c>
      <c r="D177" s="59" t="s">
        <v>43</v>
      </c>
      <c r="E177" s="59">
        <v>1</v>
      </c>
      <c r="F177" s="59" t="s">
        <v>46</v>
      </c>
      <c r="G177" s="59">
        <v>2</v>
      </c>
      <c r="H177" s="59">
        <v>2</v>
      </c>
      <c r="I177" s="59" t="s">
        <v>11</v>
      </c>
      <c r="J177" s="86">
        <v>0.54027777777777786</v>
      </c>
      <c r="K177" s="59">
        <v>0</v>
      </c>
      <c r="L177" s="59" t="s">
        <v>150</v>
      </c>
      <c r="M177" s="59">
        <v>50</v>
      </c>
      <c r="N177" s="59" t="s">
        <v>151</v>
      </c>
      <c r="O177" s="59"/>
    </row>
    <row r="178" spans="1:15" x14ac:dyDescent="0.25">
      <c r="A178" s="59" t="s">
        <v>156</v>
      </c>
      <c r="B178" s="59" t="s">
        <v>84</v>
      </c>
      <c r="C178" s="59" t="s">
        <v>75</v>
      </c>
      <c r="D178" s="59" t="s">
        <v>43</v>
      </c>
      <c r="E178" s="59">
        <v>21</v>
      </c>
      <c r="F178" s="59" t="s">
        <v>77</v>
      </c>
      <c r="G178" s="59">
        <v>2</v>
      </c>
      <c r="H178" s="59">
        <v>3</v>
      </c>
      <c r="I178" s="59" t="s">
        <v>11</v>
      </c>
      <c r="J178" s="86">
        <v>0.54027777777777786</v>
      </c>
      <c r="K178" s="59">
        <v>0</v>
      </c>
      <c r="L178" s="59" t="s">
        <v>150</v>
      </c>
      <c r="M178" s="59">
        <v>55</v>
      </c>
      <c r="N178" s="59" t="s">
        <v>151</v>
      </c>
      <c r="O178" s="59"/>
    </row>
    <row r="179" spans="1:15" x14ac:dyDescent="0.25">
      <c r="A179" s="59" t="s">
        <v>156</v>
      </c>
      <c r="B179" s="59" t="s">
        <v>132</v>
      </c>
      <c r="C179" s="59" t="s">
        <v>85</v>
      </c>
      <c r="D179" s="59" t="s">
        <v>43</v>
      </c>
      <c r="E179" s="59">
        <v>32</v>
      </c>
      <c r="F179" s="59" t="s">
        <v>64</v>
      </c>
      <c r="G179" s="59">
        <v>2</v>
      </c>
      <c r="H179" s="59">
        <v>4</v>
      </c>
      <c r="I179" s="59" t="s">
        <v>11</v>
      </c>
      <c r="J179" s="86">
        <v>0.54027777777777786</v>
      </c>
      <c r="K179" s="59">
        <v>1</v>
      </c>
      <c r="L179" s="59" t="s">
        <v>150</v>
      </c>
      <c r="M179" s="59">
        <v>0</v>
      </c>
      <c r="N179" s="59" t="s">
        <v>151</v>
      </c>
      <c r="O179" s="59"/>
    </row>
    <row r="180" spans="1:15" x14ac:dyDescent="0.25">
      <c r="A180" s="59" t="s">
        <v>156</v>
      </c>
      <c r="B180" s="59" t="s">
        <v>138</v>
      </c>
      <c r="C180" s="59" t="s">
        <v>137</v>
      </c>
      <c r="D180" s="59" t="s">
        <v>43</v>
      </c>
      <c r="E180" s="59">
        <v>9</v>
      </c>
      <c r="F180" s="59" t="s">
        <v>59</v>
      </c>
      <c r="G180" s="59">
        <v>2</v>
      </c>
      <c r="H180" s="59">
        <v>1</v>
      </c>
      <c r="I180" s="59" t="s">
        <v>12</v>
      </c>
      <c r="J180" s="86">
        <v>0.5409722222222223</v>
      </c>
      <c r="K180" s="59">
        <v>0</v>
      </c>
      <c r="L180" s="59" t="s">
        <v>150</v>
      </c>
      <c r="M180" s="59">
        <v>50</v>
      </c>
      <c r="N180" s="59" t="s">
        <v>151</v>
      </c>
      <c r="O180" s="59"/>
    </row>
    <row r="181" spans="1:15" x14ac:dyDescent="0.25">
      <c r="A181" s="59" t="s">
        <v>156</v>
      </c>
      <c r="B181" s="59" t="s">
        <v>134</v>
      </c>
      <c r="C181" s="59" t="s">
        <v>133</v>
      </c>
      <c r="D181" s="59" t="s">
        <v>43</v>
      </c>
      <c r="E181" s="59">
        <v>1</v>
      </c>
      <c r="F181" s="59" t="s">
        <v>46</v>
      </c>
      <c r="G181" s="59">
        <v>2</v>
      </c>
      <c r="H181" s="59">
        <v>2</v>
      </c>
      <c r="I181" s="59" t="s">
        <v>12</v>
      </c>
      <c r="J181" s="86">
        <v>0.5409722222222223</v>
      </c>
      <c r="K181" s="59">
        <v>0</v>
      </c>
      <c r="L181" s="59" t="s">
        <v>150</v>
      </c>
      <c r="M181" s="59">
        <v>50</v>
      </c>
      <c r="N181" s="59" t="s">
        <v>151</v>
      </c>
      <c r="O181" s="59"/>
    </row>
    <row r="182" spans="1:15" x14ac:dyDescent="0.25">
      <c r="A182" s="59" t="s">
        <v>156</v>
      </c>
      <c r="B182" s="59" t="s">
        <v>84</v>
      </c>
      <c r="C182" s="59" t="s">
        <v>75</v>
      </c>
      <c r="D182" s="59" t="s">
        <v>43</v>
      </c>
      <c r="E182" s="59">
        <v>21</v>
      </c>
      <c r="F182" s="59" t="s">
        <v>77</v>
      </c>
      <c r="G182" s="59">
        <v>2</v>
      </c>
      <c r="H182" s="59">
        <v>3</v>
      </c>
      <c r="I182" s="59" t="s">
        <v>12</v>
      </c>
      <c r="J182" s="86">
        <v>0.5409722222222223</v>
      </c>
      <c r="K182" s="59">
        <v>0</v>
      </c>
      <c r="L182" s="59" t="s">
        <v>150</v>
      </c>
      <c r="M182" s="59">
        <v>55</v>
      </c>
      <c r="N182" s="59" t="s">
        <v>151</v>
      </c>
      <c r="O182" s="59"/>
    </row>
    <row r="183" spans="1:15" x14ac:dyDescent="0.25">
      <c r="A183" s="59" t="s">
        <v>156</v>
      </c>
      <c r="B183" s="59" t="s">
        <v>132</v>
      </c>
      <c r="C183" s="59" t="s">
        <v>85</v>
      </c>
      <c r="D183" s="59" t="s">
        <v>43</v>
      </c>
      <c r="E183" s="59">
        <v>32</v>
      </c>
      <c r="F183" s="59" t="s">
        <v>64</v>
      </c>
      <c r="G183" s="59">
        <v>2</v>
      </c>
      <c r="H183" s="59">
        <v>4</v>
      </c>
      <c r="I183" s="59" t="s">
        <v>12</v>
      </c>
      <c r="J183" s="86">
        <v>0.5409722222222223</v>
      </c>
      <c r="K183" s="59">
        <v>1</v>
      </c>
      <c r="L183" s="59" t="s">
        <v>150</v>
      </c>
      <c r="M183" s="59">
        <v>0</v>
      </c>
      <c r="N183" s="59" t="s">
        <v>151</v>
      </c>
      <c r="O183" s="59"/>
    </row>
    <row r="184" spans="1:15" x14ac:dyDescent="0.25">
      <c r="A184" s="59" t="s">
        <v>156</v>
      </c>
      <c r="B184" s="59" t="s">
        <v>138</v>
      </c>
      <c r="C184" s="59" t="s">
        <v>137</v>
      </c>
      <c r="D184" s="59" t="s">
        <v>43</v>
      </c>
      <c r="E184" s="59">
        <v>9</v>
      </c>
      <c r="F184" s="59" t="s">
        <v>59</v>
      </c>
      <c r="G184" s="59">
        <v>2</v>
      </c>
      <c r="H184" s="59">
        <v>1</v>
      </c>
      <c r="I184" s="59" t="s">
        <v>9</v>
      </c>
      <c r="J184" s="86">
        <v>0.54236111111111118</v>
      </c>
      <c r="K184" s="59">
        <v>0</v>
      </c>
      <c r="L184" s="59" t="s">
        <v>150</v>
      </c>
      <c r="M184" s="59">
        <v>50</v>
      </c>
      <c r="N184" s="59" t="s">
        <v>151</v>
      </c>
      <c r="O184" s="59"/>
    </row>
    <row r="185" spans="1:15" x14ac:dyDescent="0.25">
      <c r="A185" s="59" t="s">
        <v>156</v>
      </c>
      <c r="B185" s="59" t="s">
        <v>134</v>
      </c>
      <c r="C185" s="59" t="s">
        <v>133</v>
      </c>
      <c r="D185" s="59" t="s">
        <v>43</v>
      </c>
      <c r="E185" s="59">
        <v>1</v>
      </c>
      <c r="F185" s="59" t="s">
        <v>46</v>
      </c>
      <c r="G185" s="59">
        <v>2</v>
      </c>
      <c r="H185" s="59">
        <v>2</v>
      </c>
      <c r="I185" s="59" t="s">
        <v>9</v>
      </c>
      <c r="J185" s="86">
        <v>0.54236111111111118</v>
      </c>
      <c r="K185" s="59">
        <v>0</v>
      </c>
      <c r="L185" s="59" t="s">
        <v>150</v>
      </c>
      <c r="M185" s="59">
        <v>50</v>
      </c>
      <c r="N185" s="59" t="s">
        <v>151</v>
      </c>
      <c r="O185" s="59"/>
    </row>
    <row r="186" spans="1:15" x14ac:dyDescent="0.25">
      <c r="A186" s="59" t="s">
        <v>156</v>
      </c>
      <c r="B186" s="59" t="s">
        <v>84</v>
      </c>
      <c r="C186" s="59" t="s">
        <v>75</v>
      </c>
      <c r="D186" s="59" t="s">
        <v>43</v>
      </c>
      <c r="E186" s="59">
        <v>21</v>
      </c>
      <c r="F186" s="59" t="s">
        <v>77</v>
      </c>
      <c r="G186" s="59">
        <v>2</v>
      </c>
      <c r="H186" s="59">
        <v>3</v>
      </c>
      <c r="I186" s="59" t="s">
        <v>9</v>
      </c>
      <c r="J186" s="86">
        <v>0.54236111111111118</v>
      </c>
      <c r="K186" s="59">
        <v>0</v>
      </c>
      <c r="L186" s="59" t="s">
        <v>150</v>
      </c>
      <c r="M186" s="59">
        <v>55</v>
      </c>
      <c r="N186" s="59" t="s">
        <v>151</v>
      </c>
      <c r="O186" s="59"/>
    </row>
    <row r="187" spans="1:15" x14ac:dyDescent="0.25">
      <c r="A187" s="59" t="s">
        <v>156</v>
      </c>
      <c r="B187" s="59" t="s">
        <v>132</v>
      </c>
      <c r="C187" s="59" t="s">
        <v>85</v>
      </c>
      <c r="D187" s="59" t="s">
        <v>43</v>
      </c>
      <c r="E187" s="59">
        <v>32</v>
      </c>
      <c r="F187" s="59" t="s">
        <v>64</v>
      </c>
      <c r="G187" s="59">
        <v>2</v>
      </c>
      <c r="H187" s="59">
        <v>4</v>
      </c>
      <c r="I187" s="59" t="s">
        <v>9</v>
      </c>
      <c r="J187" s="86">
        <v>0.54236111111111118</v>
      </c>
      <c r="K187" s="59">
        <v>1</v>
      </c>
      <c r="L187" s="59" t="s">
        <v>150</v>
      </c>
      <c r="M187" s="59">
        <v>0</v>
      </c>
      <c r="N187" s="59" t="s">
        <v>151</v>
      </c>
      <c r="O187" s="59"/>
    </row>
    <row r="188" spans="1:15" x14ac:dyDescent="0.25">
      <c r="A188" s="59" t="s">
        <v>156</v>
      </c>
      <c r="B188" s="59" t="s">
        <v>127</v>
      </c>
      <c r="C188" s="59" t="s">
        <v>126</v>
      </c>
      <c r="D188" s="59" t="s">
        <v>43</v>
      </c>
      <c r="E188" s="59">
        <v>12</v>
      </c>
      <c r="F188" s="59" t="s">
        <v>72</v>
      </c>
      <c r="G188" s="59">
        <v>4</v>
      </c>
      <c r="H188" s="59">
        <v>1</v>
      </c>
      <c r="I188" s="59" t="s">
        <v>10</v>
      </c>
      <c r="J188" s="86">
        <v>0.55347222222222214</v>
      </c>
      <c r="K188" s="59">
        <v>1</v>
      </c>
      <c r="L188" s="59" t="s">
        <v>150</v>
      </c>
      <c r="M188" s="59">
        <v>10</v>
      </c>
      <c r="N188" s="59" t="s">
        <v>151</v>
      </c>
      <c r="O188" s="59"/>
    </row>
    <row r="189" spans="1:15" x14ac:dyDescent="0.25">
      <c r="A189" s="59" t="s">
        <v>156</v>
      </c>
      <c r="B189" s="59" t="s">
        <v>58</v>
      </c>
      <c r="C189" s="59" t="s">
        <v>57</v>
      </c>
      <c r="D189" s="59" t="s">
        <v>49</v>
      </c>
      <c r="E189" s="59">
        <v>7</v>
      </c>
      <c r="F189" s="59" t="s">
        <v>59</v>
      </c>
      <c r="G189" s="59">
        <v>4</v>
      </c>
      <c r="H189" s="59">
        <v>2</v>
      </c>
      <c r="I189" s="59" t="s">
        <v>10</v>
      </c>
      <c r="J189" s="86">
        <v>0.55347222222222214</v>
      </c>
      <c r="K189" s="59">
        <v>1</v>
      </c>
      <c r="L189" s="59" t="s">
        <v>150</v>
      </c>
      <c r="M189" s="59">
        <v>10</v>
      </c>
      <c r="N189" s="59" t="s">
        <v>151</v>
      </c>
      <c r="O189" s="59"/>
    </row>
    <row r="190" spans="1:15" x14ac:dyDescent="0.25">
      <c r="A190" s="59" t="s">
        <v>156</v>
      </c>
      <c r="B190" s="59" t="s">
        <v>125</v>
      </c>
      <c r="C190" s="59" t="s">
        <v>124</v>
      </c>
      <c r="D190" s="59" t="s">
        <v>43</v>
      </c>
      <c r="E190" s="59">
        <v>28</v>
      </c>
      <c r="F190" s="59" t="s">
        <v>69</v>
      </c>
      <c r="G190" s="59">
        <v>4</v>
      </c>
      <c r="H190" s="59">
        <v>3</v>
      </c>
      <c r="I190" s="59" t="s">
        <v>10</v>
      </c>
      <c r="J190" s="86">
        <v>0.55347222222222214</v>
      </c>
      <c r="K190" s="59">
        <v>1</v>
      </c>
      <c r="L190" s="59" t="s">
        <v>150</v>
      </c>
      <c r="M190" s="59">
        <v>15</v>
      </c>
      <c r="N190" s="59" t="s">
        <v>151</v>
      </c>
      <c r="O190" s="59"/>
    </row>
    <row r="191" spans="1:15" x14ac:dyDescent="0.25">
      <c r="A191" s="59" t="s">
        <v>156</v>
      </c>
      <c r="B191" s="59" t="s">
        <v>53</v>
      </c>
      <c r="C191" s="59" t="s">
        <v>52</v>
      </c>
      <c r="D191" s="59" t="s">
        <v>43</v>
      </c>
      <c r="E191" s="59">
        <v>20</v>
      </c>
      <c r="F191" s="59" t="s">
        <v>54</v>
      </c>
      <c r="G191" s="59">
        <v>4</v>
      </c>
      <c r="H191" s="59">
        <v>4</v>
      </c>
      <c r="I191" s="59" t="s">
        <v>10</v>
      </c>
      <c r="J191" s="86">
        <v>0.55347222222222214</v>
      </c>
      <c r="K191" s="59">
        <v>1</v>
      </c>
      <c r="L191" s="59" t="s">
        <v>150</v>
      </c>
      <c r="M191" s="59">
        <v>15</v>
      </c>
      <c r="N191" s="59" t="s">
        <v>151</v>
      </c>
      <c r="O191" s="59"/>
    </row>
    <row r="192" spans="1:15" x14ac:dyDescent="0.25">
      <c r="A192" s="59" t="s">
        <v>156</v>
      </c>
      <c r="B192" s="59" t="s">
        <v>50</v>
      </c>
      <c r="C192" s="59" t="s">
        <v>45</v>
      </c>
      <c r="D192" s="59" t="s">
        <v>43</v>
      </c>
      <c r="E192" s="59">
        <v>37</v>
      </c>
      <c r="F192" s="59" t="s">
        <v>51</v>
      </c>
      <c r="G192" s="59">
        <v>3</v>
      </c>
      <c r="H192" s="59">
        <v>1</v>
      </c>
      <c r="I192" s="59" t="s">
        <v>11</v>
      </c>
      <c r="J192" s="86">
        <v>0.55625000000000002</v>
      </c>
      <c r="K192" s="59">
        <v>1</v>
      </c>
      <c r="L192" s="59" t="s">
        <v>150</v>
      </c>
      <c r="M192" s="59">
        <v>0</v>
      </c>
      <c r="N192" s="59" t="s">
        <v>151</v>
      </c>
      <c r="O192" s="59"/>
    </row>
    <row r="193" spans="1:15" x14ac:dyDescent="0.25">
      <c r="A193" s="59" t="s">
        <v>156</v>
      </c>
      <c r="B193" s="59" t="s">
        <v>131</v>
      </c>
      <c r="C193" s="59" t="s">
        <v>130</v>
      </c>
      <c r="D193" s="59" t="s">
        <v>43</v>
      </c>
      <c r="E193" s="59">
        <v>36</v>
      </c>
      <c r="F193" s="59" t="s">
        <v>51</v>
      </c>
      <c r="G193" s="59">
        <v>3</v>
      </c>
      <c r="H193" s="59">
        <v>2</v>
      </c>
      <c r="I193" s="59" t="s">
        <v>11</v>
      </c>
      <c r="J193" s="86">
        <v>0.55625000000000002</v>
      </c>
      <c r="K193" s="59">
        <v>1</v>
      </c>
      <c r="L193" s="59" t="s">
        <v>150</v>
      </c>
      <c r="M193" s="59">
        <v>0</v>
      </c>
      <c r="N193" s="59" t="s">
        <v>151</v>
      </c>
      <c r="O193" s="59"/>
    </row>
    <row r="194" spans="1:15" x14ac:dyDescent="0.25">
      <c r="A194" s="59" t="s">
        <v>156</v>
      </c>
      <c r="B194" s="59" t="s">
        <v>84</v>
      </c>
      <c r="C194" s="59" t="s">
        <v>83</v>
      </c>
      <c r="D194" s="59" t="s">
        <v>43</v>
      </c>
      <c r="E194" s="59">
        <v>27</v>
      </c>
      <c r="F194" s="59" t="s">
        <v>69</v>
      </c>
      <c r="G194" s="59">
        <v>3</v>
      </c>
      <c r="H194" s="59">
        <v>3</v>
      </c>
      <c r="I194" s="59" t="s">
        <v>11</v>
      </c>
      <c r="J194" s="86">
        <v>0.55625000000000002</v>
      </c>
      <c r="K194" s="59">
        <v>1</v>
      </c>
      <c r="L194" s="59" t="s">
        <v>150</v>
      </c>
      <c r="M194" s="59">
        <v>0</v>
      </c>
      <c r="N194" s="59" t="s">
        <v>151</v>
      </c>
      <c r="O194" s="59"/>
    </row>
    <row r="195" spans="1:15" x14ac:dyDescent="0.25">
      <c r="A195" s="59" t="s">
        <v>156</v>
      </c>
      <c r="B195" s="59" t="s">
        <v>129</v>
      </c>
      <c r="C195" s="59" t="s">
        <v>128</v>
      </c>
      <c r="D195" s="59" t="s">
        <v>43</v>
      </c>
      <c r="E195" s="59">
        <v>45</v>
      </c>
      <c r="F195" s="59" t="s">
        <v>44</v>
      </c>
      <c r="G195" s="59">
        <v>3</v>
      </c>
      <c r="H195" s="59">
        <v>4</v>
      </c>
      <c r="I195" s="59" t="s">
        <v>11</v>
      </c>
      <c r="J195" s="86">
        <v>0.55625000000000002</v>
      </c>
      <c r="K195" s="59">
        <v>1</v>
      </c>
      <c r="L195" s="59" t="s">
        <v>150</v>
      </c>
      <c r="M195" s="59">
        <v>5</v>
      </c>
      <c r="N195" s="59" t="s">
        <v>151</v>
      </c>
      <c r="O195" s="59"/>
    </row>
    <row r="196" spans="1:15" x14ac:dyDescent="0.25">
      <c r="A196" s="59" t="s">
        <v>156</v>
      </c>
      <c r="B196" s="59" t="s">
        <v>50</v>
      </c>
      <c r="C196" s="59" t="s">
        <v>45</v>
      </c>
      <c r="D196" s="59" t="s">
        <v>43</v>
      </c>
      <c r="E196" s="59">
        <v>37</v>
      </c>
      <c r="F196" s="59" t="s">
        <v>51</v>
      </c>
      <c r="G196" s="59">
        <v>3</v>
      </c>
      <c r="H196" s="59">
        <v>1</v>
      </c>
      <c r="I196" s="59" t="s">
        <v>12</v>
      </c>
      <c r="J196" s="86">
        <v>0.55694444444444446</v>
      </c>
      <c r="K196" s="59">
        <v>1</v>
      </c>
      <c r="L196" s="59" t="s">
        <v>150</v>
      </c>
      <c r="M196" s="59">
        <v>0</v>
      </c>
      <c r="N196" s="59" t="s">
        <v>151</v>
      </c>
      <c r="O196" s="59"/>
    </row>
    <row r="197" spans="1:15" x14ac:dyDescent="0.25">
      <c r="A197" s="59" t="s">
        <v>156</v>
      </c>
      <c r="B197" s="59" t="s">
        <v>131</v>
      </c>
      <c r="C197" s="59" t="s">
        <v>130</v>
      </c>
      <c r="D197" s="59" t="s">
        <v>43</v>
      </c>
      <c r="E197" s="59">
        <v>36</v>
      </c>
      <c r="F197" s="59" t="s">
        <v>51</v>
      </c>
      <c r="G197" s="59">
        <v>3</v>
      </c>
      <c r="H197" s="59">
        <v>2</v>
      </c>
      <c r="I197" s="59" t="s">
        <v>12</v>
      </c>
      <c r="J197" s="86">
        <v>0.55694444444444446</v>
      </c>
      <c r="K197" s="59">
        <v>1</v>
      </c>
      <c r="L197" s="59" t="s">
        <v>150</v>
      </c>
      <c r="M197" s="59">
        <v>0</v>
      </c>
      <c r="N197" s="59" t="s">
        <v>151</v>
      </c>
      <c r="O197" s="59"/>
    </row>
    <row r="198" spans="1:15" x14ac:dyDescent="0.25">
      <c r="A198" s="59" t="s">
        <v>156</v>
      </c>
      <c r="B198" s="59" t="s">
        <v>84</v>
      </c>
      <c r="C198" s="59" t="s">
        <v>83</v>
      </c>
      <c r="D198" s="59" t="s">
        <v>43</v>
      </c>
      <c r="E198" s="59">
        <v>27</v>
      </c>
      <c r="F198" s="59" t="s">
        <v>69</v>
      </c>
      <c r="G198" s="59">
        <v>3</v>
      </c>
      <c r="H198" s="59">
        <v>3</v>
      </c>
      <c r="I198" s="59" t="s">
        <v>12</v>
      </c>
      <c r="J198" s="86">
        <v>0.55694444444444446</v>
      </c>
      <c r="K198" s="59">
        <v>1</v>
      </c>
      <c r="L198" s="59" t="s">
        <v>150</v>
      </c>
      <c r="M198" s="59">
        <v>0</v>
      </c>
      <c r="N198" s="59" t="s">
        <v>151</v>
      </c>
      <c r="O198" s="59"/>
    </row>
    <row r="199" spans="1:15" x14ac:dyDescent="0.25">
      <c r="A199" s="59" t="s">
        <v>156</v>
      </c>
      <c r="B199" s="59" t="s">
        <v>129</v>
      </c>
      <c r="C199" s="59" t="s">
        <v>128</v>
      </c>
      <c r="D199" s="59" t="s">
        <v>43</v>
      </c>
      <c r="E199" s="59">
        <v>45</v>
      </c>
      <c r="F199" s="59" t="s">
        <v>44</v>
      </c>
      <c r="G199" s="59">
        <v>3</v>
      </c>
      <c r="H199" s="59">
        <v>4</v>
      </c>
      <c r="I199" s="59" t="s">
        <v>12</v>
      </c>
      <c r="J199" s="86">
        <v>0.55694444444444446</v>
      </c>
      <c r="K199" s="59">
        <v>1</v>
      </c>
      <c r="L199" s="59" t="s">
        <v>150</v>
      </c>
      <c r="M199" s="59">
        <v>5</v>
      </c>
      <c r="N199" s="59" t="s">
        <v>151</v>
      </c>
      <c r="O199" s="59"/>
    </row>
    <row r="200" spans="1:15" x14ac:dyDescent="0.25">
      <c r="A200" s="59" t="s">
        <v>156</v>
      </c>
      <c r="B200" s="59" t="s">
        <v>50</v>
      </c>
      <c r="C200" s="59" t="s">
        <v>45</v>
      </c>
      <c r="D200" s="59" t="s">
        <v>43</v>
      </c>
      <c r="E200" s="59">
        <v>37</v>
      </c>
      <c r="F200" s="59" t="s">
        <v>51</v>
      </c>
      <c r="G200" s="59">
        <v>3</v>
      </c>
      <c r="H200" s="59">
        <v>1</v>
      </c>
      <c r="I200" s="59" t="s">
        <v>9</v>
      </c>
      <c r="J200" s="86">
        <v>0.55833333333333335</v>
      </c>
      <c r="K200" s="59">
        <v>1</v>
      </c>
      <c r="L200" s="59" t="s">
        <v>150</v>
      </c>
      <c r="M200" s="59">
        <v>0</v>
      </c>
      <c r="N200" s="59" t="s">
        <v>151</v>
      </c>
      <c r="O200" s="59"/>
    </row>
    <row r="201" spans="1:15" x14ac:dyDescent="0.25">
      <c r="A201" s="59" t="s">
        <v>156</v>
      </c>
      <c r="B201" s="59" t="s">
        <v>131</v>
      </c>
      <c r="C201" s="59" t="s">
        <v>130</v>
      </c>
      <c r="D201" s="59" t="s">
        <v>43</v>
      </c>
      <c r="E201" s="59">
        <v>36</v>
      </c>
      <c r="F201" s="59" t="s">
        <v>51</v>
      </c>
      <c r="G201" s="59">
        <v>3</v>
      </c>
      <c r="H201" s="59">
        <v>2</v>
      </c>
      <c r="I201" s="59" t="s">
        <v>9</v>
      </c>
      <c r="J201" s="86">
        <v>0.55833333333333335</v>
      </c>
      <c r="K201" s="59">
        <v>1</v>
      </c>
      <c r="L201" s="59" t="s">
        <v>150</v>
      </c>
      <c r="M201" s="59">
        <v>0</v>
      </c>
      <c r="N201" s="59" t="s">
        <v>151</v>
      </c>
      <c r="O201" s="59"/>
    </row>
    <row r="202" spans="1:15" x14ac:dyDescent="0.25">
      <c r="A202" s="59" t="s">
        <v>156</v>
      </c>
      <c r="B202" s="59" t="s">
        <v>84</v>
      </c>
      <c r="C202" s="59" t="s">
        <v>83</v>
      </c>
      <c r="D202" s="59" t="s">
        <v>43</v>
      </c>
      <c r="E202" s="59">
        <v>27</v>
      </c>
      <c r="F202" s="59" t="s">
        <v>69</v>
      </c>
      <c r="G202" s="59">
        <v>3</v>
      </c>
      <c r="H202" s="59">
        <v>3</v>
      </c>
      <c r="I202" s="59" t="s">
        <v>9</v>
      </c>
      <c r="J202" s="86">
        <v>0.55833333333333335</v>
      </c>
      <c r="K202" s="59">
        <v>1</v>
      </c>
      <c r="L202" s="59" t="s">
        <v>150</v>
      </c>
      <c r="M202" s="59">
        <v>0</v>
      </c>
      <c r="N202" s="59" t="s">
        <v>151</v>
      </c>
      <c r="O202" s="59"/>
    </row>
    <row r="203" spans="1:15" x14ac:dyDescent="0.25">
      <c r="A203" s="59" t="s">
        <v>156</v>
      </c>
      <c r="B203" s="59" t="s">
        <v>129</v>
      </c>
      <c r="C203" s="59" t="s">
        <v>128</v>
      </c>
      <c r="D203" s="59" t="s">
        <v>43</v>
      </c>
      <c r="E203" s="59">
        <v>45</v>
      </c>
      <c r="F203" s="59" t="s">
        <v>44</v>
      </c>
      <c r="G203" s="59">
        <v>3</v>
      </c>
      <c r="H203" s="59">
        <v>4</v>
      </c>
      <c r="I203" s="59" t="s">
        <v>9</v>
      </c>
      <c r="J203" s="86">
        <v>0.55833333333333335</v>
      </c>
      <c r="K203" s="59">
        <v>1</v>
      </c>
      <c r="L203" s="59" t="s">
        <v>150</v>
      </c>
      <c r="M203" s="59">
        <v>5</v>
      </c>
      <c r="N203" s="59" t="s">
        <v>151</v>
      </c>
      <c r="O203" s="59"/>
    </row>
    <row r="204" spans="1:15" x14ac:dyDescent="0.25">
      <c r="A204" s="59" t="s">
        <v>156</v>
      </c>
      <c r="B204" s="59" t="s">
        <v>86</v>
      </c>
      <c r="C204" s="59" t="s">
        <v>85</v>
      </c>
      <c r="D204" s="59" t="s">
        <v>43</v>
      </c>
      <c r="E204" s="59">
        <v>34</v>
      </c>
      <c r="F204" s="59" t="s">
        <v>64</v>
      </c>
      <c r="G204" s="59">
        <v>5</v>
      </c>
      <c r="H204" s="59">
        <v>1</v>
      </c>
      <c r="I204" s="59" t="s">
        <v>10</v>
      </c>
      <c r="J204" s="86">
        <v>0.56944444444444442</v>
      </c>
      <c r="K204" s="59">
        <v>1</v>
      </c>
      <c r="L204" s="59" t="s">
        <v>150</v>
      </c>
      <c r="M204" s="59">
        <v>25</v>
      </c>
      <c r="N204" s="59" t="s">
        <v>151</v>
      </c>
      <c r="O204" s="59"/>
    </row>
    <row r="205" spans="1:15" x14ac:dyDescent="0.25">
      <c r="A205" s="59" t="s">
        <v>156</v>
      </c>
      <c r="B205" s="59" t="s">
        <v>81</v>
      </c>
      <c r="C205" s="59" t="s">
        <v>80</v>
      </c>
      <c r="D205" s="59" t="s">
        <v>43</v>
      </c>
      <c r="E205" s="59">
        <v>41</v>
      </c>
      <c r="F205" s="59" t="s">
        <v>82</v>
      </c>
      <c r="G205" s="59">
        <v>5</v>
      </c>
      <c r="H205" s="59">
        <v>2</v>
      </c>
      <c r="I205" s="59" t="s">
        <v>10</v>
      </c>
      <c r="J205" s="86">
        <v>0.56944444444444442</v>
      </c>
      <c r="K205" s="59">
        <v>1</v>
      </c>
      <c r="L205" s="59" t="s">
        <v>150</v>
      </c>
      <c r="M205" s="59">
        <v>40</v>
      </c>
      <c r="N205" s="59" t="s">
        <v>151</v>
      </c>
      <c r="O205" s="59"/>
    </row>
    <row r="206" spans="1:15" x14ac:dyDescent="0.25">
      <c r="A206" s="59" t="s">
        <v>156</v>
      </c>
      <c r="B206" s="59" t="s">
        <v>71</v>
      </c>
      <c r="C206" s="59" t="s">
        <v>70</v>
      </c>
      <c r="D206" s="59" t="s">
        <v>49</v>
      </c>
      <c r="E206" s="59">
        <v>15</v>
      </c>
      <c r="F206" s="59" t="s">
        <v>72</v>
      </c>
      <c r="G206" s="59">
        <v>5</v>
      </c>
      <c r="H206" s="59">
        <v>3</v>
      </c>
      <c r="I206" s="59" t="s">
        <v>10</v>
      </c>
      <c r="J206" s="86">
        <v>0.56944444444444442</v>
      </c>
      <c r="K206" s="59">
        <v>2</v>
      </c>
      <c r="L206" s="59" t="s">
        <v>150</v>
      </c>
      <c r="M206" s="59">
        <v>0</v>
      </c>
      <c r="N206" s="59" t="s">
        <v>151</v>
      </c>
      <c r="O206" s="59"/>
    </row>
    <row r="207" spans="1:15" x14ac:dyDescent="0.25">
      <c r="A207" s="59" t="s">
        <v>156</v>
      </c>
      <c r="B207" s="59" t="s">
        <v>127</v>
      </c>
      <c r="C207" s="59" t="s">
        <v>126</v>
      </c>
      <c r="D207" s="59" t="s">
        <v>43</v>
      </c>
      <c r="E207" s="59">
        <v>12</v>
      </c>
      <c r="F207" s="59" t="s">
        <v>72</v>
      </c>
      <c r="G207" s="59">
        <v>4</v>
      </c>
      <c r="H207" s="59">
        <v>1</v>
      </c>
      <c r="I207" s="59" t="s">
        <v>11</v>
      </c>
      <c r="J207" s="86">
        <v>0.57222222222222219</v>
      </c>
      <c r="K207" s="59">
        <v>1</v>
      </c>
      <c r="L207" s="59" t="s">
        <v>150</v>
      </c>
      <c r="M207" s="59">
        <v>10</v>
      </c>
      <c r="N207" s="59" t="s">
        <v>151</v>
      </c>
      <c r="O207" s="59"/>
    </row>
    <row r="208" spans="1:15" x14ac:dyDescent="0.25">
      <c r="A208" s="59" t="s">
        <v>156</v>
      </c>
      <c r="B208" s="59" t="s">
        <v>58</v>
      </c>
      <c r="C208" s="59" t="s">
        <v>57</v>
      </c>
      <c r="D208" s="59" t="s">
        <v>49</v>
      </c>
      <c r="E208" s="59">
        <v>7</v>
      </c>
      <c r="F208" s="59" t="s">
        <v>59</v>
      </c>
      <c r="G208" s="59">
        <v>4</v>
      </c>
      <c r="H208" s="59">
        <v>2</v>
      </c>
      <c r="I208" s="59" t="s">
        <v>11</v>
      </c>
      <c r="J208" s="86">
        <v>0.57222222222222219</v>
      </c>
      <c r="K208" s="59">
        <v>1</v>
      </c>
      <c r="L208" s="59" t="s">
        <v>150</v>
      </c>
      <c r="M208" s="59">
        <v>10</v>
      </c>
      <c r="N208" s="59" t="s">
        <v>151</v>
      </c>
      <c r="O208" s="59"/>
    </row>
    <row r="209" spans="1:15" x14ac:dyDescent="0.25">
      <c r="A209" s="59" t="s">
        <v>156</v>
      </c>
      <c r="B209" s="59" t="s">
        <v>125</v>
      </c>
      <c r="C209" s="59" t="s">
        <v>124</v>
      </c>
      <c r="D209" s="59" t="s">
        <v>43</v>
      </c>
      <c r="E209" s="59">
        <v>28</v>
      </c>
      <c r="F209" s="59" t="s">
        <v>69</v>
      </c>
      <c r="G209" s="59">
        <v>4</v>
      </c>
      <c r="H209" s="59">
        <v>3</v>
      </c>
      <c r="I209" s="59" t="s">
        <v>11</v>
      </c>
      <c r="J209" s="86">
        <v>0.57222222222222219</v>
      </c>
      <c r="K209" s="59">
        <v>1</v>
      </c>
      <c r="L209" s="59" t="s">
        <v>150</v>
      </c>
      <c r="M209" s="59">
        <v>15</v>
      </c>
      <c r="N209" s="59" t="s">
        <v>151</v>
      </c>
      <c r="O209" s="59"/>
    </row>
    <row r="210" spans="1:15" x14ac:dyDescent="0.25">
      <c r="A210" s="59" t="s">
        <v>156</v>
      </c>
      <c r="B210" s="59" t="s">
        <v>53</v>
      </c>
      <c r="C210" s="59" t="s">
        <v>52</v>
      </c>
      <c r="D210" s="59" t="s">
        <v>43</v>
      </c>
      <c r="E210" s="59">
        <v>20</v>
      </c>
      <c r="F210" s="59" t="s">
        <v>54</v>
      </c>
      <c r="G210" s="59">
        <v>4</v>
      </c>
      <c r="H210" s="59">
        <v>4</v>
      </c>
      <c r="I210" s="59" t="s">
        <v>11</v>
      </c>
      <c r="J210" s="86">
        <v>0.57222222222222219</v>
      </c>
      <c r="K210" s="59">
        <v>1</v>
      </c>
      <c r="L210" s="59" t="s">
        <v>150</v>
      </c>
      <c r="M210" s="59">
        <v>15</v>
      </c>
      <c r="N210" s="59" t="s">
        <v>151</v>
      </c>
      <c r="O210" s="59"/>
    </row>
    <row r="211" spans="1:15" x14ac:dyDescent="0.25">
      <c r="A211" s="59" t="s">
        <v>156</v>
      </c>
      <c r="B211" s="59" t="s">
        <v>127</v>
      </c>
      <c r="C211" s="59" t="s">
        <v>126</v>
      </c>
      <c r="D211" s="59" t="s">
        <v>43</v>
      </c>
      <c r="E211" s="59">
        <v>12</v>
      </c>
      <c r="F211" s="59" t="s">
        <v>72</v>
      </c>
      <c r="G211" s="59">
        <v>4</v>
      </c>
      <c r="H211" s="59">
        <v>1</v>
      </c>
      <c r="I211" s="59" t="s">
        <v>12</v>
      </c>
      <c r="J211" s="86">
        <v>0.57291666666666663</v>
      </c>
      <c r="K211" s="59">
        <v>1</v>
      </c>
      <c r="L211" s="59" t="s">
        <v>150</v>
      </c>
      <c r="M211" s="59">
        <v>10</v>
      </c>
      <c r="N211" s="59" t="s">
        <v>151</v>
      </c>
      <c r="O211" s="59"/>
    </row>
    <row r="212" spans="1:15" x14ac:dyDescent="0.25">
      <c r="A212" s="59" t="s">
        <v>156</v>
      </c>
      <c r="B212" s="59" t="s">
        <v>58</v>
      </c>
      <c r="C212" s="59" t="s">
        <v>57</v>
      </c>
      <c r="D212" s="59" t="s">
        <v>49</v>
      </c>
      <c r="E212" s="59">
        <v>7</v>
      </c>
      <c r="F212" s="59" t="s">
        <v>59</v>
      </c>
      <c r="G212" s="59">
        <v>4</v>
      </c>
      <c r="H212" s="59">
        <v>2</v>
      </c>
      <c r="I212" s="59" t="s">
        <v>12</v>
      </c>
      <c r="J212" s="86">
        <v>0.57291666666666663</v>
      </c>
      <c r="K212" s="59">
        <v>1</v>
      </c>
      <c r="L212" s="59" t="s">
        <v>150</v>
      </c>
      <c r="M212" s="59">
        <v>10</v>
      </c>
      <c r="N212" s="59" t="s">
        <v>151</v>
      </c>
      <c r="O212" s="59"/>
    </row>
    <row r="213" spans="1:15" x14ac:dyDescent="0.25">
      <c r="A213" s="59" t="s">
        <v>156</v>
      </c>
      <c r="B213" s="59" t="s">
        <v>125</v>
      </c>
      <c r="C213" s="59" t="s">
        <v>124</v>
      </c>
      <c r="D213" s="59" t="s">
        <v>43</v>
      </c>
      <c r="E213" s="59">
        <v>28</v>
      </c>
      <c r="F213" s="59" t="s">
        <v>69</v>
      </c>
      <c r="G213" s="59">
        <v>4</v>
      </c>
      <c r="H213" s="59">
        <v>3</v>
      </c>
      <c r="I213" s="59" t="s">
        <v>12</v>
      </c>
      <c r="J213" s="86">
        <v>0.57291666666666663</v>
      </c>
      <c r="K213" s="59">
        <v>1</v>
      </c>
      <c r="L213" s="59" t="s">
        <v>150</v>
      </c>
      <c r="M213" s="59">
        <v>15</v>
      </c>
      <c r="N213" s="59" t="s">
        <v>151</v>
      </c>
      <c r="O213" s="59"/>
    </row>
    <row r="214" spans="1:15" x14ac:dyDescent="0.25">
      <c r="A214" s="59" t="s">
        <v>156</v>
      </c>
      <c r="B214" s="59" t="s">
        <v>53</v>
      </c>
      <c r="C214" s="59" t="s">
        <v>52</v>
      </c>
      <c r="D214" s="59" t="s">
        <v>43</v>
      </c>
      <c r="E214" s="59">
        <v>20</v>
      </c>
      <c r="F214" s="59" t="s">
        <v>54</v>
      </c>
      <c r="G214" s="59">
        <v>4</v>
      </c>
      <c r="H214" s="59">
        <v>4</v>
      </c>
      <c r="I214" s="59" t="s">
        <v>12</v>
      </c>
      <c r="J214" s="86">
        <v>0.57291666666666663</v>
      </c>
      <c r="K214" s="59">
        <v>1</v>
      </c>
      <c r="L214" s="59" t="s">
        <v>150</v>
      </c>
      <c r="M214" s="59">
        <v>15</v>
      </c>
      <c r="N214" s="59" t="s">
        <v>151</v>
      </c>
      <c r="O214" s="59"/>
    </row>
    <row r="215" spans="1:15" x14ac:dyDescent="0.25">
      <c r="A215" s="59" t="s">
        <v>156</v>
      </c>
      <c r="B215" s="59" t="s">
        <v>127</v>
      </c>
      <c r="C215" s="59" t="s">
        <v>126</v>
      </c>
      <c r="D215" s="59" t="s">
        <v>43</v>
      </c>
      <c r="E215" s="59">
        <v>12</v>
      </c>
      <c r="F215" s="59" t="s">
        <v>72</v>
      </c>
      <c r="G215" s="59">
        <v>4</v>
      </c>
      <c r="H215" s="59">
        <v>1</v>
      </c>
      <c r="I215" s="59" t="s">
        <v>9</v>
      </c>
      <c r="J215" s="86">
        <v>0.57430555555555551</v>
      </c>
      <c r="K215" s="59">
        <v>1</v>
      </c>
      <c r="L215" s="59" t="s">
        <v>150</v>
      </c>
      <c r="M215" s="59">
        <v>10</v>
      </c>
      <c r="N215" s="59" t="s">
        <v>151</v>
      </c>
      <c r="O215" s="59"/>
    </row>
    <row r="216" spans="1:15" x14ac:dyDescent="0.25">
      <c r="A216" s="59" t="s">
        <v>156</v>
      </c>
      <c r="B216" s="59" t="s">
        <v>58</v>
      </c>
      <c r="C216" s="59" t="s">
        <v>57</v>
      </c>
      <c r="D216" s="59" t="s">
        <v>49</v>
      </c>
      <c r="E216" s="59">
        <v>7</v>
      </c>
      <c r="F216" s="59" t="s">
        <v>59</v>
      </c>
      <c r="G216" s="59">
        <v>4</v>
      </c>
      <c r="H216" s="59">
        <v>2</v>
      </c>
      <c r="I216" s="59" t="s">
        <v>9</v>
      </c>
      <c r="J216" s="86">
        <v>0.57430555555555551</v>
      </c>
      <c r="K216" s="59">
        <v>1</v>
      </c>
      <c r="L216" s="59" t="s">
        <v>150</v>
      </c>
      <c r="M216" s="59">
        <v>10</v>
      </c>
      <c r="N216" s="59" t="s">
        <v>151</v>
      </c>
      <c r="O216" s="59"/>
    </row>
    <row r="217" spans="1:15" x14ac:dyDescent="0.25">
      <c r="A217" s="59" t="s">
        <v>156</v>
      </c>
      <c r="B217" s="59" t="s">
        <v>125</v>
      </c>
      <c r="C217" s="59" t="s">
        <v>124</v>
      </c>
      <c r="D217" s="59" t="s">
        <v>43</v>
      </c>
      <c r="E217" s="59">
        <v>28</v>
      </c>
      <c r="F217" s="59" t="s">
        <v>69</v>
      </c>
      <c r="G217" s="59">
        <v>4</v>
      </c>
      <c r="H217" s="59">
        <v>3</v>
      </c>
      <c r="I217" s="59" t="s">
        <v>9</v>
      </c>
      <c r="J217" s="86">
        <v>0.57430555555555551</v>
      </c>
      <c r="K217" s="59">
        <v>1</v>
      </c>
      <c r="L217" s="59" t="s">
        <v>150</v>
      </c>
      <c r="M217" s="59">
        <v>15</v>
      </c>
      <c r="N217" s="59" t="s">
        <v>151</v>
      </c>
      <c r="O217" s="59"/>
    </row>
    <row r="218" spans="1:15" x14ac:dyDescent="0.25">
      <c r="A218" s="59" t="s">
        <v>156</v>
      </c>
      <c r="B218" s="59" t="s">
        <v>53</v>
      </c>
      <c r="C218" s="59" t="s">
        <v>52</v>
      </c>
      <c r="D218" s="59" t="s">
        <v>43</v>
      </c>
      <c r="E218" s="59">
        <v>20</v>
      </c>
      <c r="F218" s="59" t="s">
        <v>54</v>
      </c>
      <c r="G218" s="59">
        <v>4</v>
      </c>
      <c r="H218" s="59">
        <v>4</v>
      </c>
      <c r="I218" s="59" t="s">
        <v>9</v>
      </c>
      <c r="J218" s="86">
        <v>0.57430555555555551</v>
      </c>
      <c r="K218" s="59">
        <v>1</v>
      </c>
      <c r="L218" s="59" t="s">
        <v>150</v>
      </c>
      <c r="M218" s="59">
        <v>15</v>
      </c>
      <c r="N218" s="59" t="s">
        <v>151</v>
      </c>
      <c r="O218" s="59"/>
    </row>
    <row r="219" spans="1:15" x14ac:dyDescent="0.25">
      <c r="A219" s="59" t="s">
        <v>156</v>
      </c>
      <c r="B219" s="59" t="s">
        <v>86</v>
      </c>
      <c r="C219" s="59" t="s">
        <v>85</v>
      </c>
      <c r="D219" s="59" t="s">
        <v>43</v>
      </c>
      <c r="E219" s="59">
        <v>34</v>
      </c>
      <c r="F219" s="59" t="s">
        <v>64</v>
      </c>
      <c r="G219" s="59">
        <v>5</v>
      </c>
      <c r="H219" s="59">
        <v>1</v>
      </c>
      <c r="I219" s="59" t="s">
        <v>11</v>
      </c>
      <c r="J219" s="86">
        <v>0.58819444444444446</v>
      </c>
      <c r="K219" s="59">
        <v>1</v>
      </c>
      <c r="L219" s="59" t="s">
        <v>150</v>
      </c>
      <c r="M219" s="59">
        <v>25</v>
      </c>
      <c r="N219" s="59" t="s">
        <v>151</v>
      </c>
      <c r="O219" s="59"/>
    </row>
    <row r="220" spans="1:15" x14ac:dyDescent="0.25">
      <c r="A220" s="59" t="s">
        <v>156</v>
      </c>
      <c r="B220" s="59" t="s">
        <v>81</v>
      </c>
      <c r="C220" s="59" t="s">
        <v>80</v>
      </c>
      <c r="D220" s="59" t="s">
        <v>43</v>
      </c>
      <c r="E220" s="59">
        <v>41</v>
      </c>
      <c r="F220" s="59" t="s">
        <v>82</v>
      </c>
      <c r="G220" s="59">
        <v>5</v>
      </c>
      <c r="H220" s="59">
        <v>2</v>
      </c>
      <c r="I220" s="59" t="s">
        <v>11</v>
      </c>
      <c r="J220" s="86">
        <v>0.58819444444444446</v>
      </c>
      <c r="K220" s="59">
        <v>1</v>
      </c>
      <c r="L220" s="59" t="s">
        <v>150</v>
      </c>
      <c r="M220" s="59">
        <v>40</v>
      </c>
      <c r="N220" s="59" t="s">
        <v>151</v>
      </c>
      <c r="O220" s="59"/>
    </row>
    <row r="221" spans="1:15" x14ac:dyDescent="0.25">
      <c r="A221" s="59" t="s">
        <v>156</v>
      </c>
      <c r="B221" s="59" t="s">
        <v>71</v>
      </c>
      <c r="C221" s="59" t="s">
        <v>70</v>
      </c>
      <c r="D221" s="59" t="s">
        <v>49</v>
      </c>
      <c r="E221" s="59">
        <v>15</v>
      </c>
      <c r="F221" s="59" t="s">
        <v>72</v>
      </c>
      <c r="G221" s="59">
        <v>5</v>
      </c>
      <c r="H221" s="59">
        <v>3</v>
      </c>
      <c r="I221" s="59" t="s">
        <v>11</v>
      </c>
      <c r="J221" s="86">
        <v>0.58819444444444446</v>
      </c>
      <c r="K221" s="59">
        <v>2</v>
      </c>
      <c r="L221" s="59" t="s">
        <v>150</v>
      </c>
      <c r="M221" s="59">
        <v>0</v>
      </c>
      <c r="N221" s="59" t="s">
        <v>151</v>
      </c>
      <c r="O221" s="59"/>
    </row>
    <row r="222" spans="1:15" x14ac:dyDescent="0.25">
      <c r="A222" s="59" t="s">
        <v>156</v>
      </c>
      <c r="B222" s="59" t="s">
        <v>86</v>
      </c>
      <c r="C222" s="59" t="s">
        <v>85</v>
      </c>
      <c r="D222" s="59" t="s">
        <v>43</v>
      </c>
      <c r="E222" s="59">
        <v>34</v>
      </c>
      <c r="F222" s="59" t="s">
        <v>64</v>
      </c>
      <c r="G222" s="59">
        <v>5</v>
      </c>
      <c r="H222" s="59">
        <v>1</v>
      </c>
      <c r="I222" s="59" t="s">
        <v>12</v>
      </c>
      <c r="J222" s="86">
        <v>0.58888888888888891</v>
      </c>
      <c r="K222" s="59">
        <v>1</v>
      </c>
      <c r="L222" s="59" t="s">
        <v>150</v>
      </c>
      <c r="M222" s="59">
        <v>25</v>
      </c>
      <c r="N222" s="59" t="s">
        <v>151</v>
      </c>
      <c r="O222" s="59"/>
    </row>
    <row r="223" spans="1:15" x14ac:dyDescent="0.25">
      <c r="A223" s="59" t="s">
        <v>156</v>
      </c>
      <c r="B223" s="59" t="s">
        <v>81</v>
      </c>
      <c r="C223" s="59" t="s">
        <v>80</v>
      </c>
      <c r="D223" s="59" t="s">
        <v>43</v>
      </c>
      <c r="E223" s="59">
        <v>41</v>
      </c>
      <c r="F223" s="59" t="s">
        <v>82</v>
      </c>
      <c r="G223" s="59">
        <v>5</v>
      </c>
      <c r="H223" s="59">
        <v>2</v>
      </c>
      <c r="I223" s="59" t="s">
        <v>12</v>
      </c>
      <c r="J223" s="86">
        <v>0.58888888888888891</v>
      </c>
      <c r="K223" s="59">
        <v>1</v>
      </c>
      <c r="L223" s="59" t="s">
        <v>150</v>
      </c>
      <c r="M223" s="59">
        <v>40</v>
      </c>
      <c r="N223" s="59" t="s">
        <v>151</v>
      </c>
      <c r="O223" s="59"/>
    </row>
    <row r="224" spans="1:15" x14ac:dyDescent="0.25">
      <c r="A224" s="59" t="s">
        <v>156</v>
      </c>
      <c r="B224" s="59" t="s">
        <v>71</v>
      </c>
      <c r="C224" s="59" t="s">
        <v>70</v>
      </c>
      <c r="D224" s="59" t="s">
        <v>49</v>
      </c>
      <c r="E224" s="59">
        <v>15</v>
      </c>
      <c r="F224" s="59" t="s">
        <v>72</v>
      </c>
      <c r="G224" s="59">
        <v>5</v>
      </c>
      <c r="H224" s="59">
        <v>3</v>
      </c>
      <c r="I224" s="59" t="s">
        <v>12</v>
      </c>
      <c r="J224" s="86">
        <v>0.58888888888888891</v>
      </c>
      <c r="K224" s="59">
        <v>2</v>
      </c>
      <c r="L224" s="59" t="s">
        <v>150</v>
      </c>
      <c r="M224" s="59">
        <v>0</v>
      </c>
      <c r="N224" s="59" t="s">
        <v>151</v>
      </c>
      <c r="O224" s="59"/>
    </row>
    <row r="225" spans="1:15" x14ac:dyDescent="0.25">
      <c r="A225" s="59" t="s">
        <v>156</v>
      </c>
      <c r="B225" s="59" t="s">
        <v>86</v>
      </c>
      <c r="C225" s="59" t="s">
        <v>85</v>
      </c>
      <c r="D225" s="59" t="s">
        <v>43</v>
      </c>
      <c r="E225" s="59">
        <v>34</v>
      </c>
      <c r="F225" s="59" t="s">
        <v>64</v>
      </c>
      <c r="G225" s="59">
        <v>5</v>
      </c>
      <c r="H225" s="59">
        <v>1</v>
      </c>
      <c r="I225" s="59" t="s">
        <v>9</v>
      </c>
      <c r="J225" s="86">
        <v>0.59027777777777779</v>
      </c>
      <c r="K225" s="59">
        <v>1</v>
      </c>
      <c r="L225" s="59" t="s">
        <v>150</v>
      </c>
      <c r="M225" s="59">
        <v>25</v>
      </c>
      <c r="N225" s="59" t="s">
        <v>151</v>
      </c>
      <c r="O225" s="59"/>
    </row>
    <row r="226" spans="1:15" x14ac:dyDescent="0.25">
      <c r="A226" s="59" t="s">
        <v>156</v>
      </c>
      <c r="B226" s="59" t="s">
        <v>81</v>
      </c>
      <c r="C226" s="59" t="s">
        <v>80</v>
      </c>
      <c r="D226" s="59" t="s">
        <v>43</v>
      </c>
      <c r="E226" s="59">
        <v>41</v>
      </c>
      <c r="F226" s="59" t="s">
        <v>82</v>
      </c>
      <c r="G226" s="59">
        <v>5</v>
      </c>
      <c r="H226" s="59">
        <v>2</v>
      </c>
      <c r="I226" s="59" t="s">
        <v>9</v>
      </c>
      <c r="J226" s="86">
        <v>0.59027777777777779</v>
      </c>
      <c r="K226" s="59">
        <v>1</v>
      </c>
      <c r="L226" s="59" t="s">
        <v>150</v>
      </c>
      <c r="M226" s="59">
        <v>40</v>
      </c>
      <c r="N226" s="59" t="s">
        <v>151</v>
      </c>
      <c r="O226" s="59"/>
    </row>
    <row r="227" spans="1:15" x14ac:dyDescent="0.25">
      <c r="A227" s="59" t="s">
        <v>156</v>
      </c>
      <c r="B227" s="59" t="s">
        <v>71</v>
      </c>
      <c r="C227" s="59" t="s">
        <v>70</v>
      </c>
      <c r="D227" s="59" t="s">
        <v>49</v>
      </c>
      <c r="E227" s="59">
        <v>15</v>
      </c>
      <c r="F227" s="59" t="s">
        <v>72</v>
      </c>
      <c r="G227" s="59">
        <v>5</v>
      </c>
      <c r="H227" s="59">
        <v>3</v>
      </c>
      <c r="I227" s="59" t="s">
        <v>9</v>
      </c>
      <c r="J227" s="86">
        <v>0.59027777777777779</v>
      </c>
      <c r="K227" s="59">
        <v>2</v>
      </c>
      <c r="L227" s="59" t="s">
        <v>150</v>
      </c>
      <c r="M227" s="59">
        <v>0</v>
      </c>
      <c r="N227" s="59" t="s">
        <v>151</v>
      </c>
      <c r="O227" s="59"/>
    </row>
    <row r="228" spans="1:15" x14ac:dyDescent="0.25">
      <c r="A228" s="59" t="s">
        <v>157</v>
      </c>
      <c r="B228" s="59" t="s">
        <v>123</v>
      </c>
      <c r="C228" s="59" t="s">
        <v>122</v>
      </c>
      <c r="D228" s="59" t="s">
        <v>49</v>
      </c>
      <c r="E228" s="59">
        <v>30</v>
      </c>
      <c r="F228" s="59" t="s">
        <v>69</v>
      </c>
      <c r="G228" s="59">
        <v>1</v>
      </c>
      <c r="H228" s="59">
        <v>1</v>
      </c>
      <c r="I228" s="59" t="s">
        <v>10</v>
      </c>
      <c r="J228" s="86">
        <v>0.59236111111111112</v>
      </c>
      <c r="K228" s="59">
        <v>0</v>
      </c>
      <c r="L228" s="59">
        <v>0</v>
      </c>
      <c r="M228" s="59">
        <v>50</v>
      </c>
      <c r="N228" s="59" t="s">
        <v>152</v>
      </c>
      <c r="O228" s="59"/>
    </row>
    <row r="229" spans="1:15" x14ac:dyDescent="0.25">
      <c r="A229" s="59" t="s">
        <v>157</v>
      </c>
      <c r="B229" s="59" t="s">
        <v>79</v>
      </c>
      <c r="C229" s="59" t="s">
        <v>78</v>
      </c>
      <c r="D229" s="59" t="s">
        <v>49</v>
      </c>
      <c r="E229" s="59">
        <v>25</v>
      </c>
      <c r="F229" s="59" t="s">
        <v>77</v>
      </c>
      <c r="G229" s="59">
        <v>1</v>
      </c>
      <c r="H229" s="59">
        <v>2</v>
      </c>
      <c r="I229" s="59" t="s">
        <v>10</v>
      </c>
      <c r="J229" s="86">
        <v>0.59236111111111112</v>
      </c>
      <c r="K229" s="59">
        <v>0</v>
      </c>
      <c r="L229" s="59">
        <v>0</v>
      </c>
      <c r="M229" s="59">
        <v>53</v>
      </c>
      <c r="N229" s="59" t="s">
        <v>152</v>
      </c>
      <c r="O229" s="59"/>
    </row>
    <row r="230" spans="1:15" x14ac:dyDescent="0.25">
      <c r="A230" s="59" t="s">
        <v>157</v>
      </c>
      <c r="B230" s="59" t="s">
        <v>68</v>
      </c>
      <c r="C230" s="59" t="s">
        <v>67</v>
      </c>
      <c r="D230" s="59" t="s">
        <v>43</v>
      </c>
      <c r="E230" s="59">
        <v>29</v>
      </c>
      <c r="F230" s="59" t="s">
        <v>69</v>
      </c>
      <c r="G230" s="59">
        <v>2</v>
      </c>
      <c r="H230" s="59">
        <v>1</v>
      </c>
      <c r="I230" s="59" t="s">
        <v>10</v>
      </c>
      <c r="J230" s="86">
        <v>0.59861111111111109</v>
      </c>
      <c r="K230" s="59">
        <v>0</v>
      </c>
      <c r="L230" s="59">
        <v>0</v>
      </c>
      <c r="M230" s="59">
        <v>65</v>
      </c>
      <c r="N230" s="59" t="s">
        <v>152</v>
      </c>
      <c r="O230" s="59"/>
    </row>
    <row r="231" spans="1:15" x14ac:dyDescent="0.25">
      <c r="A231" s="59" t="s">
        <v>157</v>
      </c>
      <c r="B231" s="59" t="s">
        <v>61</v>
      </c>
      <c r="C231" s="59" t="s">
        <v>60</v>
      </c>
      <c r="D231" s="59" t="s">
        <v>43</v>
      </c>
      <c r="E231" s="59">
        <v>19</v>
      </c>
      <c r="F231" s="59" t="s">
        <v>54</v>
      </c>
      <c r="G231" s="59">
        <v>2</v>
      </c>
      <c r="H231" s="59">
        <v>2</v>
      </c>
      <c r="I231" s="59" t="s">
        <v>10</v>
      </c>
      <c r="J231" s="86">
        <v>0.59861111111111109</v>
      </c>
      <c r="K231" s="59">
        <v>0</v>
      </c>
      <c r="L231" s="59">
        <v>0</v>
      </c>
      <c r="M231" s="59">
        <v>70</v>
      </c>
      <c r="N231" s="59" t="s">
        <v>152</v>
      </c>
      <c r="O231" s="59"/>
    </row>
    <row r="232" spans="1:15" x14ac:dyDescent="0.25">
      <c r="A232" s="59" t="s">
        <v>157</v>
      </c>
      <c r="B232" s="59" t="s">
        <v>117</v>
      </c>
      <c r="C232" s="59" t="s">
        <v>116</v>
      </c>
      <c r="D232" s="59" t="s">
        <v>43</v>
      </c>
      <c r="E232" s="59">
        <v>6</v>
      </c>
      <c r="F232" s="59" t="s">
        <v>59</v>
      </c>
      <c r="G232" s="59">
        <v>3</v>
      </c>
      <c r="H232" s="59">
        <v>1</v>
      </c>
      <c r="I232" s="59" t="s">
        <v>10</v>
      </c>
      <c r="J232" s="86">
        <v>0.60486111111111107</v>
      </c>
      <c r="K232" s="59">
        <v>0</v>
      </c>
      <c r="L232" s="59">
        <v>0</v>
      </c>
      <c r="M232" s="59">
        <v>75</v>
      </c>
      <c r="N232" s="59" t="s">
        <v>152</v>
      </c>
      <c r="O232" s="59"/>
    </row>
    <row r="233" spans="1:15" x14ac:dyDescent="0.25">
      <c r="A233" s="59" t="s">
        <v>157</v>
      </c>
      <c r="B233" s="59" t="s">
        <v>111</v>
      </c>
      <c r="C233" s="59" t="s">
        <v>110</v>
      </c>
      <c r="D233" s="59" t="s">
        <v>49</v>
      </c>
      <c r="E233" s="59">
        <v>8</v>
      </c>
      <c r="F233" s="59" t="s">
        <v>59</v>
      </c>
      <c r="G233" s="59">
        <v>3</v>
      </c>
      <c r="H233" s="59">
        <v>2</v>
      </c>
      <c r="I233" s="59" t="s">
        <v>10</v>
      </c>
      <c r="J233" s="86">
        <v>0.60486111111111107</v>
      </c>
      <c r="K233" s="59">
        <v>0</v>
      </c>
      <c r="L233" s="59">
        <v>0</v>
      </c>
      <c r="M233" s="59">
        <v>75</v>
      </c>
      <c r="N233" s="59" t="s">
        <v>152</v>
      </c>
      <c r="O233" s="59"/>
    </row>
    <row r="234" spans="1:15" x14ac:dyDescent="0.25">
      <c r="A234" s="59" t="s">
        <v>157</v>
      </c>
      <c r="B234" s="59" t="s">
        <v>105</v>
      </c>
      <c r="C234" s="59" t="s">
        <v>104</v>
      </c>
      <c r="D234" s="59" t="s">
        <v>49</v>
      </c>
      <c r="E234" s="59">
        <v>35</v>
      </c>
      <c r="F234" s="59" t="s">
        <v>64</v>
      </c>
      <c r="G234" s="59">
        <v>4</v>
      </c>
      <c r="H234" s="59">
        <v>1</v>
      </c>
      <c r="I234" s="59" t="s">
        <v>10</v>
      </c>
      <c r="J234" s="86">
        <v>0.61111111111111105</v>
      </c>
      <c r="K234" s="59">
        <v>0</v>
      </c>
      <c r="L234" s="59">
        <v>0</v>
      </c>
      <c r="M234" s="59">
        <v>90</v>
      </c>
      <c r="N234" s="59" t="s">
        <v>152</v>
      </c>
      <c r="O234" s="59"/>
    </row>
    <row r="235" spans="1:15" x14ac:dyDescent="0.25">
      <c r="A235" s="59" t="s">
        <v>157</v>
      </c>
      <c r="B235" s="59" t="s">
        <v>103</v>
      </c>
      <c r="C235" s="59" t="s">
        <v>102</v>
      </c>
      <c r="D235" s="59" t="s">
        <v>49</v>
      </c>
      <c r="E235" s="59">
        <v>17</v>
      </c>
      <c r="F235" s="59" t="s">
        <v>54</v>
      </c>
      <c r="G235" s="59">
        <v>4</v>
      </c>
      <c r="H235" s="59">
        <v>2</v>
      </c>
      <c r="I235" s="59" t="s">
        <v>10</v>
      </c>
      <c r="J235" s="86">
        <v>0.61111111111111105</v>
      </c>
      <c r="K235" s="59">
        <v>0</v>
      </c>
      <c r="L235" s="59">
        <v>0</v>
      </c>
      <c r="M235" s="59">
        <v>92</v>
      </c>
      <c r="N235" s="59" t="s">
        <v>152</v>
      </c>
      <c r="O235" s="59"/>
    </row>
    <row r="236" spans="1:15" x14ac:dyDescent="0.25">
      <c r="A236" s="59" t="s">
        <v>157</v>
      </c>
      <c r="B236" s="59" t="s">
        <v>123</v>
      </c>
      <c r="C236" s="59" t="s">
        <v>122</v>
      </c>
      <c r="D236" s="59" t="s">
        <v>49</v>
      </c>
      <c r="E236" s="59">
        <v>30</v>
      </c>
      <c r="F236" s="59" t="s">
        <v>69</v>
      </c>
      <c r="G236" s="59">
        <v>1</v>
      </c>
      <c r="H236" s="59">
        <v>1</v>
      </c>
      <c r="I236" s="59" t="s">
        <v>11</v>
      </c>
      <c r="J236" s="86">
        <v>0.61111111111111116</v>
      </c>
      <c r="K236" s="59">
        <v>0</v>
      </c>
      <c r="L236" s="59">
        <v>0</v>
      </c>
      <c r="M236" s="59">
        <v>50</v>
      </c>
      <c r="N236" s="59" t="s">
        <v>152</v>
      </c>
      <c r="O236" s="59"/>
    </row>
    <row r="237" spans="1:15" x14ac:dyDescent="0.25">
      <c r="A237" s="59" t="s">
        <v>157</v>
      </c>
      <c r="B237" s="59" t="s">
        <v>79</v>
      </c>
      <c r="C237" s="59" t="s">
        <v>78</v>
      </c>
      <c r="D237" s="59" t="s">
        <v>49</v>
      </c>
      <c r="E237" s="59">
        <v>25</v>
      </c>
      <c r="F237" s="59" t="s">
        <v>77</v>
      </c>
      <c r="G237" s="59">
        <v>1</v>
      </c>
      <c r="H237" s="59">
        <v>2</v>
      </c>
      <c r="I237" s="59" t="s">
        <v>11</v>
      </c>
      <c r="J237" s="86">
        <v>0.61111111111111116</v>
      </c>
      <c r="K237" s="59">
        <v>0</v>
      </c>
      <c r="L237" s="59">
        <v>0</v>
      </c>
      <c r="M237" s="59">
        <v>53</v>
      </c>
      <c r="N237" s="59" t="s">
        <v>152</v>
      </c>
      <c r="O237" s="59"/>
    </row>
    <row r="238" spans="1:15" x14ac:dyDescent="0.25">
      <c r="A238" s="59" t="s">
        <v>157</v>
      </c>
      <c r="B238" s="59" t="s">
        <v>123</v>
      </c>
      <c r="C238" s="59" t="s">
        <v>122</v>
      </c>
      <c r="D238" s="59" t="s">
        <v>49</v>
      </c>
      <c r="E238" s="59">
        <v>30</v>
      </c>
      <c r="F238" s="59" t="s">
        <v>69</v>
      </c>
      <c r="G238" s="59">
        <v>1</v>
      </c>
      <c r="H238" s="59">
        <v>1</v>
      </c>
      <c r="I238" s="59" t="s">
        <v>12</v>
      </c>
      <c r="J238" s="86">
        <v>0.6118055555555556</v>
      </c>
      <c r="K238" s="59">
        <v>0</v>
      </c>
      <c r="L238" s="59">
        <v>0</v>
      </c>
      <c r="M238" s="59">
        <v>50</v>
      </c>
      <c r="N238" s="59" t="s">
        <v>152</v>
      </c>
      <c r="O238" s="59"/>
    </row>
    <row r="239" spans="1:15" x14ac:dyDescent="0.25">
      <c r="A239" s="59" t="s">
        <v>157</v>
      </c>
      <c r="B239" s="59" t="s">
        <v>79</v>
      </c>
      <c r="C239" s="59" t="s">
        <v>78</v>
      </c>
      <c r="D239" s="59" t="s">
        <v>49</v>
      </c>
      <c r="E239" s="59">
        <v>25</v>
      </c>
      <c r="F239" s="59" t="s">
        <v>77</v>
      </c>
      <c r="G239" s="59">
        <v>1</v>
      </c>
      <c r="H239" s="59">
        <v>2</v>
      </c>
      <c r="I239" s="59" t="s">
        <v>12</v>
      </c>
      <c r="J239" s="86">
        <v>0.6118055555555556</v>
      </c>
      <c r="K239" s="59">
        <v>0</v>
      </c>
      <c r="L239" s="59">
        <v>0</v>
      </c>
      <c r="M239" s="59">
        <v>53</v>
      </c>
      <c r="N239" s="59" t="s">
        <v>152</v>
      </c>
      <c r="O239" s="59"/>
    </row>
    <row r="240" spans="1:15" x14ac:dyDescent="0.25">
      <c r="A240" s="59" t="s">
        <v>157</v>
      </c>
      <c r="B240" s="59" t="s">
        <v>123</v>
      </c>
      <c r="C240" s="59" t="s">
        <v>122</v>
      </c>
      <c r="D240" s="59" t="s">
        <v>49</v>
      </c>
      <c r="E240" s="59">
        <v>30</v>
      </c>
      <c r="F240" s="59" t="s">
        <v>69</v>
      </c>
      <c r="G240" s="59">
        <v>1</v>
      </c>
      <c r="H240" s="59">
        <v>1</v>
      </c>
      <c r="I240" s="59" t="s">
        <v>9</v>
      </c>
      <c r="J240" s="86">
        <v>0.61319444444444449</v>
      </c>
      <c r="K240" s="59">
        <v>0</v>
      </c>
      <c r="L240" s="59">
        <v>0</v>
      </c>
      <c r="M240" s="59">
        <v>50</v>
      </c>
      <c r="N240" s="59" t="s">
        <v>152</v>
      </c>
      <c r="O240" s="59"/>
    </row>
    <row r="241" spans="1:15" x14ac:dyDescent="0.25">
      <c r="A241" s="59" t="s">
        <v>157</v>
      </c>
      <c r="B241" s="59" t="s">
        <v>79</v>
      </c>
      <c r="C241" s="59" t="s">
        <v>78</v>
      </c>
      <c r="D241" s="59" t="s">
        <v>49</v>
      </c>
      <c r="E241" s="59">
        <v>25</v>
      </c>
      <c r="F241" s="59" t="s">
        <v>77</v>
      </c>
      <c r="G241" s="59">
        <v>1</v>
      </c>
      <c r="H241" s="59">
        <v>2</v>
      </c>
      <c r="I241" s="59" t="s">
        <v>9</v>
      </c>
      <c r="J241" s="86">
        <v>0.61319444444444449</v>
      </c>
      <c r="K241" s="59">
        <v>0</v>
      </c>
      <c r="L241" s="59">
        <v>0</v>
      </c>
      <c r="M241" s="59">
        <v>53</v>
      </c>
      <c r="N241" s="59" t="s">
        <v>152</v>
      </c>
      <c r="O241" s="59"/>
    </row>
    <row r="242" spans="1:15" x14ac:dyDescent="0.25">
      <c r="A242" s="59" t="s">
        <v>157</v>
      </c>
      <c r="B242" s="59" t="s">
        <v>119</v>
      </c>
      <c r="C242" s="59" t="s">
        <v>118</v>
      </c>
      <c r="D242" s="59" t="s">
        <v>49</v>
      </c>
      <c r="E242" s="59">
        <v>5</v>
      </c>
      <c r="F242" s="59" t="s">
        <v>46</v>
      </c>
      <c r="G242" s="59">
        <v>5</v>
      </c>
      <c r="H242" s="59">
        <v>1</v>
      </c>
      <c r="I242" s="59" t="s">
        <v>10</v>
      </c>
      <c r="J242" s="86">
        <v>0.61736111111111103</v>
      </c>
      <c r="K242" s="59">
        <v>0</v>
      </c>
      <c r="L242" s="59">
        <v>0</v>
      </c>
      <c r="M242" s="59">
        <v>95</v>
      </c>
      <c r="N242" s="59" t="s">
        <v>152</v>
      </c>
      <c r="O242" s="59"/>
    </row>
    <row r="243" spans="1:15" x14ac:dyDescent="0.25">
      <c r="A243" s="59" t="s">
        <v>157</v>
      </c>
      <c r="B243" s="59" t="s">
        <v>113</v>
      </c>
      <c r="C243" s="59" t="s">
        <v>112</v>
      </c>
      <c r="D243" s="59" t="s">
        <v>49</v>
      </c>
      <c r="E243" s="59">
        <v>24</v>
      </c>
      <c r="F243" s="59" t="s">
        <v>77</v>
      </c>
      <c r="G243" s="59">
        <v>5</v>
      </c>
      <c r="H243" s="59">
        <v>2</v>
      </c>
      <c r="I243" s="59" t="s">
        <v>10</v>
      </c>
      <c r="J243" s="86">
        <v>0.61736111111111103</v>
      </c>
      <c r="K243" s="59">
        <v>0</v>
      </c>
      <c r="L243" s="59">
        <v>0</v>
      </c>
      <c r="M243" s="59">
        <v>100</v>
      </c>
      <c r="N243" s="59" t="s">
        <v>152</v>
      </c>
      <c r="O243" s="59"/>
    </row>
    <row r="244" spans="1:15" x14ac:dyDescent="0.25">
      <c r="A244" s="59" t="s">
        <v>157</v>
      </c>
      <c r="B244" s="59" t="s">
        <v>68</v>
      </c>
      <c r="C244" s="59" t="s">
        <v>67</v>
      </c>
      <c r="D244" s="59" t="s">
        <v>43</v>
      </c>
      <c r="E244" s="59">
        <v>29</v>
      </c>
      <c r="F244" s="59" t="s">
        <v>69</v>
      </c>
      <c r="G244" s="59">
        <v>2</v>
      </c>
      <c r="H244" s="59">
        <v>1</v>
      </c>
      <c r="I244" s="59" t="s">
        <v>11</v>
      </c>
      <c r="J244" s="86">
        <v>0.61736111111111114</v>
      </c>
      <c r="K244" s="59">
        <v>0</v>
      </c>
      <c r="L244" s="59">
        <v>0</v>
      </c>
      <c r="M244" s="59">
        <v>65</v>
      </c>
      <c r="N244" s="59" t="s">
        <v>152</v>
      </c>
      <c r="O244" s="59"/>
    </row>
    <row r="245" spans="1:15" x14ac:dyDescent="0.25">
      <c r="A245" s="59" t="s">
        <v>157</v>
      </c>
      <c r="B245" s="59" t="s">
        <v>61</v>
      </c>
      <c r="C245" s="59" t="s">
        <v>60</v>
      </c>
      <c r="D245" s="59" t="s">
        <v>43</v>
      </c>
      <c r="E245" s="59">
        <v>19</v>
      </c>
      <c r="F245" s="59" t="s">
        <v>54</v>
      </c>
      <c r="G245" s="59">
        <v>2</v>
      </c>
      <c r="H245" s="59">
        <v>2</v>
      </c>
      <c r="I245" s="59" t="s">
        <v>11</v>
      </c>
      <c r="J245" s="86">
        <v>0.61736111111111114</v>
      </c>
      <c r="K245" s="59">
        <v>0</v>
      </c>
      <c r="L245" s="59">
        <v>0</v>
      </c>
      <c r="M245" s="59">
        <v>70</v>
      </c>
      <c r="N245" s="59" t="s">
        <v>152</v>
      </c>
      <c r="O245" s="59"/>
    </row>
    <row r="246" spans="1:15" x14ac:dyDescent="0.25">
      <c r="A246" s="59" t="s">
        <v>157</v>
      </c>
      <c r="B246" s="59" t="s">
        <v>68</v>
      </c>
      <c r="C246" s="59" t="s">
        <v>67</v>
      </c>
      <c r="D246" s="59" t="s">
        <v>43</v>
      </c>
      <c r="E246" s="59">
        <v>29</v>
      </c>
      <c r="F246" s="59" t="s">
        <v>69</v>
      </c>
      <c r="G246" s="59">
        <v>2</v>
      </c>
      <c r="H246" s="59">
        <v>1</v>
      </c>
      <c r="I246" s="59" t="s">
        <v>12</v>
      </c>
      <c r="J246" s="86">
        <v>0.61805555555555558</v>
      </c>
      <c r="K246" s="59">
        <v>0</v>
      </c>
      <c r="L246" s="59">
        <v>0</v>
      </c>
      <c r="M246" s="59">
        <v>65</v>
      </c>
      <c r="N246" s="59" t="s">
        <v>152</v>
      </c>
      <c r="O246" s="59"/>
    </row>
    <row r="247" spans="1:15" x14ac:dyDescent="0.25">
      <c r="A247" s="59" t="s">
        <v>157</v>
      </c>
      <c r="B247" s="59" t="s">
        <v>61</v>
      </c>
      <c r="C247" s="59" t="s">
        <v>60</v>
      </c>
      <c r="D247" s="59" t="s">
        <v>43</v>
      </c>
      <c r="E247" s="59">
        <v>19</v>
      </c>
      <c r="F247" s="59" t="s">
        <v>54</v>
      </c>
      <c r="G247" s="59">
        <v>2</v>
      </c>
      <c r="H247" s="59">
        <v>2</v>
      </c>
      <c r="I247" s="59" t="s">
        <v>12</v>
      </c>
      <c r="J247" s="86">
        <v>0.61805555555555558</v>
      </c>
      <c r="K247" s="59">
        <v>0</v>
      </c>
      <c r="L247" s="59">
        <v>0</v>
      </c>
      <c r="M247" s="59">
        <v>70</v>
      </c>
      <c r="N247" s="59" t="s">
        <v>152</v>
      </c>
      <c r="O247" s="59"/>
    </row>
    <row r="248" spans="1:15" x14ac:dyDescent="0.25">
      <c r="A248" s="59" t="s">
        <v>157</v>
      </c>
      <c r="B248" s="59" t="s">
        <v>68</v>
      </c>
      <c r="C248" s="59" t="s">
        <v>67</v>
      </c>
      <c r="D248" s="59" t="s">
        <v>43</v>
      </c>
      <c r="E248" s="59">
        <v>29</v>
      </c>
      <c r="F248" s="59" t="s">
        <v>69</v>
      </c>
      <c r="G248" s="59">
        <v>2</v>
      </c>
      <c r="H248" s="59">
        <v>1</v>
      </c>
      <c r="I248" s="59" t="s">
        <v>9</v>
      </c>
      <c r="J248" s="86">
        <v>0.61944444444444446</v>
      </c>
      <c r="K248" s="59">
        <v>0</v>
      </c>
      <c r="L248" s="59">
        <v>0</v>
      </c>
      <c r="M248" s="59">
        <v>65</v>
      </c>
      <c r="N248" s="59" t="s">
        <v>152</v>
      </c>
      <c r="O248" s="59"/>
    </row>
    <row r="249" spans="1:15" x14ac:dyDescent="0.25">
      <c r="A249" s="59" t="s">
        <v>157</v>
      </c>
      <c r="B249" s="59" t="s">
        <v>61</v>
      </c>
      <c r="C249" s="59" t="s">
        <v>60</v>
      </c>
      <c r="D249" s="59" t="s">
        <v>43</v>
      </c>
      <c r="E249" s="59">
        <v>19</v>
      </c>
      <c r="F249" s="59" t="s">
        <v>54</v>
      </c>
      <c r="G249" s="59">
        <v>2</v>
      </c>
      <c r="H249" s="59">
        <v>2</v>
      </c>
      <c r="I249" s="59" t="s">
        <v>9</v>
      </c>
      <c r="J249" s="86">
        <v>0.61944444444444446</v>
      </c>
      <c r="K249" s="59">
        <v>0</v>
      </c>
      <c r="L249" s="59">
        <v>0</v>
      </c>
      <c r="M249" s="59">
        <v>70</v>
      </c>
      <c r="N249" s="59" t="s">
        <v>152</v>
      </c>
      <c r="O249" s="59"/>
    </row>
    <row r="250" spans="1:15" x14ac:dyDescent="0.25">
      <c r="A250" s="59" t="s">
        <v>157</v>
      </c>
      <c r="B250" s="59" t="s">
        <v>117</v>
      </c>
      <c r="C250" s="59" t="s">
        <v>116</v>
      </c>
      <c r="D250" s="59" t="s">
        <v>43</v>
      </c>
      <c r="E250" s="59">
        <v>6</v>
      </c>
      <c r="F250" s="59" t="s">
        <v>59</v>
      </c>
      <c r="G250" s="59">
        <v>3</v>
      </c>
      <c r="H250" s="59">
        <v>1</v>
      </c>
      <c r="I250" s="59" t="s">
        <v>11</v>
      </c>
      <c r="J250" s="86">
        <v>0.62361111111111112</v>
      </c>
      <c r="K250" s="59">
        <v>0</v>
      </c>
      <c r="L250" s="59">
        <v>0</v>
      </c>
      <c r="M250" s="59">
        <v>75</v>
      </c>
      <c r="N250" s="59" t="s">
        <v>152</v>
      </c>
      <c r="O250" s="59"/>
    </row>
    <row r="251" spans="1:15" x14ac:dyDescent="0.25">
      <c r="A251" s="59" t="s">
        <v>157</v>
      </c>
      <c r="B251" s="59" t="s">
        <v>111</v>
      </c>
      <c r="C251" s="59" t="s">
        <v>110</v>
      </c>
      <c r="D251" s="59" t="s">
        <v>49</v>
      </c>
      <c r="E251" s="59">
        <v>8</v>
      </c>
      <c r="F251" s="59" t="s">
        <v>59</v>
      </c>
      <c r="G251" s="59">
        <v>3</v>
      </c>
      <c r="H251" s="59">
        <v>2</v>
      </c>
      <c r="I251" s="59" t="s">
        <v>11</v>
      </c>
      <c r="J251" s="86">
        <v>0.62361111111111112</v>
      </c>
      <c r="K251" s="59">
        <v>0</v>
      </c>
      <c r="L251" s="59">
        <v>0</v>
      </c>
      <c r="M251" s="59">
        <v>75</v>
      </c>
      <c r="N251" s="59" t="s">
        <v>152</v>
      </c>
      <c r="O251" s="59"/>
    </row>
    <row r="252" spans="1:15" x14ac:dyDescent="0.25">
      <c r="A252" s="59" t="s">
        <v>157</v>
      </c>
      <c r="B252" s="59" t="s">
        <v>109</v>
      </c>
      <c r="C252" s="59" t="s">
        <v>108</v>
      </c>
      <c r="D252" s="59" t="s">
        <v>49</v>
      </c>
      <c r="E252" s="59">
        <v>43</v>
      </c>
      <c r="F252" s="59" t="s">
        <v>44</v>
      </c>
      <c r="G252" s="59">
        <v>6</v>
      </c>
      <c r="H252" s="59">
        <v>1</v>
      </c>
      <c r="I252" s="59" t="s">
        <v>10</v>
      </c>
      <c r="J252" s="86">
        <v>0.62361111111111112</v>
      </c>
      <c r="K252" s="59">
        <v>0</v>
      </c>
      <c r="L252" s="59">
        <v>0</v>
      </c>
      <c r="M252" s="59">
        <v>100</v>
      </c>
      <c r="N252" s="59" t="s">
        <v>152</v>
      </c>
      <c r="O252" s="59"/>
    </row>
    <row r="253" spans="1:15" x14ac:dyDescent="0.25">
      <c r="A253" s="59" t="s">
        <v>157</v>
      </c>
      <c r="B253" s="59" t="s">
        <v>99</v>
      </c>
      <c r="C253" s="59" t="s">
        <v>98</v>
      </c>
      <c r="D253" s="59" t="s">
        <v>49</v>
      </c>
      <c r="E253" s="59">
        <v>14</v>
      </c>
      <c r="F253" s="59" t="s">
        <v>72</v>
      </c>
      <c r="G253" s="59">
        <v>6</v>
      </c>
      <c r="H253" s="59">
        <v>2</v>
      </c>
      <c r="I253" s="59" t="s">
        <v>10</v>
      </c>
      <c r="J253" s="86">
        <v>0.62361111111111112</v>
      </c>
      <c r="K253" s="59">
        <v>0</v>
      </c>
      <c r="L253" s="59">
        <v>0</v>
      </c>
      <c r="M253" s="59">
        <v>100</v>
      </c>
      <c r="N253" s="59" t="s">
        <v>152</v>
      </c>
      <c r="O253" s="59"/>
    </row>
    <row r="254" spans="1:15" x14ac:dyDescent="0.25">
      <c r="A254" s="59" t="s">
        <v>157</v>
      </c>
      <c r="B254" s="59" t="s">
        <v>117</v>
      </c>
      <c r="C254" s="59" t="s">
        <v>116</v>
      </c>
      <c r="D254" s="59" t="s">
        <v>43</v>
      </c>
      <c r="E254" s="59">
        <v>6</v>
      </c>
      <c r="F254" s="59" t="s">
        <v>59</v>
      </c>
      <c r="G254" s="59">
        <v>3</v>
      </c>
      <c r="H254" s="59">
        <v>1</v>
      </c>
      <c r="I254" s="59" t="s">
        <v>12</v>
      </c>
      <c r="J254" s="86">
        <v>0.62430555555555556</v>
      </c>
      <c r="K254" s="59">
        <v>0</v>
      </c>
      <c r="L254" s="59">
        <v>0</v>
      </c>
      <c r="M254" s="59">
        <v>75</v>
      </c>
      <c r="N254" s="59" t="s">
        <v>152</v>
      </c>
      <c r="O254" s="59"/>
    </row>
    <row r="255" spans="1:15" x14ac:dyDescent="0.25">
      <c r="A255" s="59" t="s">
        <v>157</v>
      </c>
      <c r="B255" s="59" t="s">
        <v>111</v>
      </c>
      <c r="C255" s="59" t="s">
        <v>110</v>
      </c>
      <c r="D255" s="59" t="s">
        <v>49</v>
      </c>
      <c r="E255" s="59">
        <v>8</v>
      </c>
      <c r="F255" s="59" t="s">
        <v>59</v>
      </c>
      <c r="G255" s="59">
        <v>3</v>
      </c>
      <c r="H255" s="59">
        <v>2</v>
      </c>
      <c r="I255" s="59" t="s">
        <v>12</v>
      </c>
      <c r="J255" s="86">
        <v>0.62430555555555556</v>
      </c>
      <c r="K255" s="59">
        <v>0</v>
      </c>
      <c r="L255" s="59">
        <v>0</v>
      </c>
      <c r="M255" s="59">
        <v>75</v>
      </c>
      <c r="N255" s="59" t="s">
        <v>152</v>
      </c>
      <c r="O255" s="59"/>
    </row>
    <row r="256" spans="1:15" x14ac:dyDescent="0.25">
      <c r="A256" s="59" t="s">
        <v>157</v>
      </c>
      <c r="B256" s="59" t="s">
        <v>117</v>
      </c>
      <c r="C256" s="59" t="s">
        <v>116</v>
      </c>
      <c r="D256" s="59" t="s">
        <v>43</v>
      </c>
      <c r="E256" s="59">
        <v>6</v>
      </c>
      <c r="F256" s="59" t="s">
        <v>59</v>
      </c>
      <c r="G256" s="59">
        <v>3</v>
      </c>
      <c r="H256" s="59">
        <v>1</v>
      </c>
      <c r="I256" s="59" t="s">
        <v>9</v>
      </c>
      <c r="J256" s="86">
        <v>0.62569444444444444</v>
      </c>
      <c r="K256" s="59">
        <v>0</v>
      </c>
      <c r="L256" s="59">
        <v>0</v>
      </c>
      <c r="M256" s="59">
        <v>75</v>
      </c>
      <c r="N256" s="59" t="s">
        <v>152</v>
      </c>
      <c r="O256" s="59"/>
    </row>
    <row r="257" spans="1:15" x14ac:dyDescent="0.25">
      <c r="A257" s="59" t="s">
        <v>157</v>
      </c>
      <c r="B257" s="59" t="s">
        <v>111</v>
      </c>
      <c r="C257" s="59" t="s">
        <v>110</v>
      </c>
      <c r="D257" s="59" t="s">
        <v>49</v>
      </c>
      <c r="E257" s="59">
        <v>8</v>
      </c>
      <c r="F257" s="59" t="s">
        <v>59</v>
      </c>
      <c r="G257" s="59">
        <v>3</v>
      </c>
      <c r="H257" s="59">
        <v>2</v>
      </c>
      <c r="I257" s="59" t="s">
        <v>9</v>
      </c>
      <c r="J257" s="86">
        <v>0.62569444444444444</v>
      </c>
      <c r="K257" s="59">
        <v>0</v>
      </c>
      <c r="L257" s="59">
        <v>0</v>
      </c>
      <c r="M257" s="59">
        <v>75</v>
      </c>
      <c r="N257" s="59" t="s">
        <v>152</v>
      </c>
      <c r="O257" s="59"/>
    </row>
    <row r="258" spans="1:15" x14ac:dyDescent="0.25">
      <c r="A258" s="59" t="s">
        <v>157</v>
      </c>
      <c r="B258" s="59" t="s">
        <v>105</v>
      </c>
      <c r="C258" s="59" t="s">
        <v>104</v>
      </c>
      <c r="D258" s="59" t="s">
        <v>49</v>
      </c>
      <c r="E258" s="59">
        <v>35</v>
      </c>
      <c r="F258" s="59" t="s">
        <v>64</v>
      </c>
      <c r="G258" s="59">
        <v>4</v>
      </c>
      <c r="H258" s="59">
        <v>1</v>
      </c>
      <c r="I258" s="59" t="s">
        <v>11</v>
      </c>
      <c r="J258" s="86">
        <v>0.62986111111111109</v>
      </c>
      <c r="K258" s="59">
        <v>0</v>
      </c>
      <c r="L258" s="59">
        <v>0</v>
      </c>
      <c r="M258" s="59">
        <v>90</v>
      </c>
      <c r="N258" s="59" t="s">
        <v>152</v>
      </c>
      <c r="O258" s="59"/>
    </row>
    <row r="259" spans="1:15" x14ac:dyDescent="0.25">
      <c r="A259" s="59" t="s">
        <v>157</v>
      </c>
      <c r="B259" s="59" t="s">
        <v>103</v>
      </c>
      <c r="C259" s="59" t="s">
        <v>102</v>
      </c>
      <c r="D259" s="59" t="s">
        <v>49</v>
      </c>
      <c r="E259" s="59">
        <v>17</v>
      </c>
      <c r="F259" s="59" t="s">
        <v>54</v>
      </c>
      <c r="G259" s="59">
        <v>4</v>
      </c>
      <c r="H259" s="59">
        <v>2</v>
      </c>
      <c r="I259" s="59" t="s">
        <v>11</v>
      </c>
      <c r="J259" s="86">
        <v>0.62986111111111109</v>
      </c>
      <c r="K259" s="59">
        <v>0</v>
      </c>
      <c r="L259" s="59">
        <v>0</v>
      </c>
      <c r="M259" s="59">
        <v>92</v>
      </c>
      <c r="N259" s="59" t="s">
        <v>152</v>
      </c>
      <c r="O259" s="59"/>
    </row>
    <row r="260" spans="1:15" x14ac:dyDescent="0.25">
      <c r="A260" s="59" t="s">
        <v>157</v>
      </c>
      <c r="B260" s="59" t="s">
        <v>101</v>
      </c>
      <c r="C260" s="59" t="s">
        <v>100</v>
      </c>
      <c r="D260" s="59" t="s">
        <v>43</v>
      </c>
      <c r="E260" s="59">
        <v>44</v>
      </c>
      <c r="F260" s="59" t="s">
        <v>44</v>
      </c>
      <c r="G260" s="59">
        <v>7</v>
      </c>
      <c r="H260" s="59">
        <v>1</v>
      </c>
      <c r="I260" s="59" t="s">
        <v>10</v>
      </c>
      <c r="J260" s="86">
        <v>0.62986111111111109</v>
      </c>
      <c r="K260" s="59">
        <v>0</v>
      </c>
      <c r="L260" s="59">
        <v>0</v>
      </c>
      <c r="M260" s="59">
        <v>100</v>
      </c>
      <c r="N260" s="59" t="s">
        <v>152</v>
      </c>
      <c r="O260" s="59"/>
    </row>
    <row r="261" spans="1:15" x14ac:dyDescent="0.25">
      <c r="A261" s="59" t="s">
        <v>157</v>
      </c>
      <c r="B261" s="59" t="s">
        <v>115</v>
      </c>
      <c r="C261" s="59" t="s">
        <v>114</v>
      </c>
      <c r="D261" s="59" t="s">
        <v>49</v>
      </c>
      <c r="E261" s="59">
        <v>33</v>
      </c>
      <c r="F261" s="59" t="s">
        <v>64</v>
      </c>
      <c r="G261" s="59">
        <v>7</v>
      </c>
      <c r="H261" s="59">
        <v>2</v>
      </c>
      <c r="I261" s="59" t="s">
        <v>10</v>
      </c>
      <c r="J261" s="86">
        <v>0.62986111111111109</v>
      </c>
      <c r="K261" s="59">
        <v>0</v>
      </c>
      <c r="L261" s="59">
        <v>0</v>
      </c>
      <c r="M261" s="59">
        <v>103</v>
      </c>
      <c r="N261" s="59" t="s">
        <v>152</v>
      </c>
      <c r="O261" s="59"/>
    </row>
    <row r="262" spans="1:15" x14ac:dyDescent="0.25">
      <c r="A262" s="59" t="s">
        <v>157</v>
      </c>
      <c r="B262" s="59" t="s">
        <v>105</v>
      </c>
      <c r="C262" s="59" t="s">
        <v>104</v>
      </c>
      <c r="D262" s="59" t="s">
        <v>49</v>
      </c>
      <c r="E262" s="59">
        <v>35</v>
      </c>
      <c r="F262" s="59" t="s">
        <v>64</v>
      </c>
      <c r="G262" s="59">
        <v>4</v>
      </c>
      <c r="H262" s="59">
        <v>1</v>
      </c>
      <c r="I262" s="59" t="s">
        <v>12</v>
      </c>
      <c r="J262" s="86">
        <v>0.63055555555555554</v>
      </c>
      <c r="K262" s="59">
        <v>0</v>
      </c>
      <c r="L262" s="59">
        <v>0</v>
      </c>
      <c r="M262" s="59">
        <v>90</v>
      </c>
      <c r="N262" s="59" t="s">
        <v>152</v>
      </c>
      <c r="O262" s="59"/>
    </row>
    <row r="263" spans="1:15" x14ac:dyDescent="0.25">
      <c r="A263" s="59" t="s">
        <v>157</v>
      </c>
      <c r="B263" s="59" t="s">
        <v>103</v>
      </c>
      <c r="C263" s="59" t="s">
        <v>102</v>
      </c>
      <c r="D263" s="59" t="s">
        <v>49</v>
      </c>
      <c r="E263" s="59">
        <v>17</v>
      </c>
      <c r="F263" s="59" t="s">
        <v>54</v>
      </c>
      <c r="G263" s="59">
        <v>4</v>
      </c>
      <c r="H263" s="59">
        <v>2</v>
      </c>
      <c r="I263" s="59" t="s">
        <v>12</v>
      </c>
      <c r="J263" s="86">
        <v>0.63055555555555554</v>
      </c>
      <c r="K263" s="59">
        <v>0</v>
      </c>
      <c r="L263" s="59">
        <v>0</v>
      </c>
      <c r="M263" s="59">
        <v>92</v>
      </c>
      <c r="N263" s="59" t="s">
        <v>152</v>
      </c>
      <c r="O263" s="59"/>
    </row>
    <row r="264" spans="1:15" x14ac:dyDescent="0.25">
      <c r="A264" s="59" t="s">
        <v>157</v>
      </c>
      <c r="B264" s="59" t="s">
        <v>105</v>
      </c>
      <c r="C264" s="59" t="s">
        <v>104</v>
      </c>
      <c r="D264" s="59" t="s">
        <v>49</v>
      </c>
      <c r="E264" s="59">
        <v>35</v>
      </c>
      <c r="F264" s="59" t="s">
        <v>64</v>
      </c>
      <c r="G264" s="59">
        <v>4</v>
      </c>
      <c r="H264" s="59">
        <v>1</v>
      </c>
      <c r="I264" s="59" t="s">
        <v>9</v>
      </c>
      <c r="J264" s="86">
        <v>0.63194444444444442</v>
      </c>
      <c r="K264" s="59">
        <v>0</v>
      </c>
      <c r="L264" s="59">
        <v>0</v>
      </c>
      <c r="M264" s="59">
        <v>90</v>
      </c>
      <c r="N264" s="59" t="s">
        <v>152</v>
      </c>
      <c r="O264" s="59"/>
    </row>
    <row r="265" spans="1:15" x14ac:dyDescent="0.25">
      <c r="A265" s="59" t="s">
        <v>157</v>
      </c>
      <c r="B265" s="59" t="s">
        <v>103</v>
      </c>
      <c r="C265" s="59" t="s">
        <v>102</v>
      </c>
      <c r="D265" s="59" t="s">
        <v>49</v>
      </c>
      <c r="E265" s="59">
        <v>17</v>
      </c>
      <c r="F265" s="59" t="s">
        <v>54</v>
      </c>
      <c r="G265" s="59">
        <v>4</v>
      </c>
      <c r="H265" s="59">
        <v>2</v>
      </c>
      <c r="I265" s="59" t="s">
        <v>9</v>
      </c>
      <c r="J265" s="86">
        <v>0.63194444444444442</v>
      </c>
      <c r="K265" s="59">
        <v>0</v>
      </c>
      <c r="L265" s="59">
        <v>0</v>
      </c>
      <c r="M265" s="59">
        <v>92</v>
      </c>
      <c r="N265" s="59" t="s">
        <v>152</v>
      </c>
      <c r="O265" s="59"/>
    </row>
    <row r="266" spans="1:15" x14ac:dyDescent="0.25">
      <c r="A266" s="59" t="s">
        <v>157</v>
      </c>
      <c r="B266" s="59" t="s">
        <v>119</v>
      </c>
      <c r="C266" s="59" t="s">
        <v>118</v>
      </c>
      <c r="D266" s="59" t="s">
        <v>49</v>
      </c>
      <c r="E266" s="59">
        <v>5</v>
      </c>
      <c r="F266" s="59" t="s">
        <v>46</v>
      </c>
      <c r="G266" s="59">
        <v>5</v>
      </c>
      <c r="H266" s="59">
        <v>1</v>
      </c>
      <c r="I266" s="59" t="s">
        <v>11</v>
      </c>
      <c r="J266" s="86">
        <v>0.63611111111111107</v>
      </c>
      <c r="K266" s="59">
        <v>0</v>
      </c>
      <c r="L266" s="59">
        <v>0</v>
      </c>
      <c r="M266" s="59">
        <v>95</v>
      </c>
      <c r="N266" s="59" t="s">
        <v>152</v>
      </c>
      <c r="O266" s="59"/>
    </row>
    <row r="267" spans="1:15" x14ac:dyDescent="0.25">
      <c r="A267" s="59" t="s">
        <v>157</v>
      </c>
      <c r="B267" s="59" t="s">
        <v>113</v>
      </c>
      <c r="C267" s="59" t="s">
        <v>112</v>
      </c>
      <c r="D267" s="59" t="s">
        <v>49</v>
      </c>
      <c r="E267" s="59">
        <v>24</v>
      </c>
      <c r="F267" s="59" t="s">
        <v>77</v>
      </c>
      <c r="G267" s="59">
        <v>5</v>
      </c>
      <c r="H267" s="59">
        <v>2</v>
      </c>
      <c r="I267" s="59" t="s">
        <v>11</v>
      </c>
      <c r="J267" s="86">
        <v>0.63611111111111107</v>
      </c>
      <c r="K267" s="59">
        <v>0</v>
      </c>
      <c r="L267" s="59">
        <v>0</v>
      </c>
      <c r="M267" s="59">
        <v>100</v>
      </c>
      <c r="N267" s="59" t="s">
        <v>152</v>
      </c>
      <c r="O267" s="59"/>
    </row>
    <row r="268" spans="1:15" x14ac:dyDescent="0.25">
      <c r="A268" s="59" t="s">
        <v>157</v>
      </c>
      <c r="B268" s="59" t="s">
        <v>97</v>
      </c>
      <c r="C268" s="59" t="s">
        <v>96</v>
      </c>
      <c r="D268" s="59" t="s">
        <v>49</v>
      </c>
      <c r="E268" s="59">
        <v>39</v>
      </c>
      <c r="F268" s="59" t="s">
        <v>51</v>
      </c>
      <c r="G268" s="59">
        <v>8</v>
      </c>
      <c r="H268" s="59">
        <v>1</v>
      </c>
      <c r="I268" s="59" t="s">
        <v>10</v>
      </c>
      <c r="J268" s="86">
        <v>0.63611111111111107</v>
      </c>
      <c r="K268" s="59">
        <v>0</v>
      </c>
      <c r="L268" s="59">
        <v>0</v>
      </c>
      <c r="M268" s="59">
        <v>110</v>
      </c>
      <c r="N268" s="59" t="s">
        <v>152</v>
      </c>
      <c r="O268" s="59"/>
    </row>
    <row r="269" spans="1:15" x14ac:dyDescent="0.25">
      <c r="A269" s="59" t="s">
        <v>157</v>
      </c>
      <c r="B269" s="59" t="s">
        <v>56</v>
      </c>
      <c r="C269" s="59" t="s">
        <v>55</v>
      </c>
      <c r="D269" s="59" t="s">
        <v>43</v>
      </c>
      <c r="E269" s="59">
        <v>38</v>
      </c>
      <c r="F269" s="59" t="s">
        <v>51</v>
      </c>
      <c r="G269" s="59">
        <v>8</v>
      </c>
      <c r="H269" s="59">
        <v>2</v>
      </c>
      <c r="I269" s="59" t="s">
        <v>10</v>
      </c>
      <c r="J269" s="86">
        <v>0.63611111111111107</v>
      </c>
      <c r="K269" s="59">
        <v>0</v>
      </c>
      <c r="L269" s="59">
        <v>0</v>
      </c>
      <c r="M269" s="59">
        <v>125</v>
      </c>
      <c r="N269" s="59" t="s">
        <v>152</v>
      </c>
      <c r="O269" s="59"/>
    </row>
    <row r="270" spans="1:15" x14ac:dyDescent="0.25">
      <c r="A270" s="59" t="s">
        <v>157</v>
      </c>
      <c r="B270" s="59" t="s">
        <v>119</v>
      </c>
      <c r="C270" s="59" t="s">
        <v>118</v>
      </c>
      <c r="D270" s="59" t="s">
        <v>49</v>
      </c>
      <c r="E270" s="59">
        <v>5</v>
      </c>
      <c r="F270" s="59" t="s">
        <v>46</v>
      </c>
      <c r="G270" s="59">
        <v>5</v>
      </c>
      <c r="H270" s="59">
        <v>1</v>
      </c>
      <c r="I270" s="59" t="s">
        <v>12</v>
      </c>
      <c r="J270" s="86">
        <v>0.63680555555555551</v>
      </c>
      <c r="K270" s="59">
        <v>0</v>
      </c>
      <c r="L270" s="59">
        <v>0</v>
      </c>
      <c r="M270" s="59">
        <v>95</v>
      </c>
      <c r="N270" s="59" t="s">
        <v>152</v>
      </c>
      <c r="O270" s="59"/>
    </row>
    <row r="271" spans="1:15" x14ac:dyDescent="0.25">
      <c r="A271" s="59" t="s">
        <v>157</v>
      </c>
      <c r="B271" s="59" t="s">
        <v>113</v>
      </c>
      <c r="C271" s="59" t="s">
        <v>112</v>
      </c>
      <c r="D271" s="59" t="s">
        <v>49</v>
      </c>
      <c r="E271" s="59">
        <v>24</v>
      </c>
      <c r="F271" s="59" t="s">
        <v>77</v>
      </c>
      <c r="G271" s="59">
        <v>5</v>
      </c>
      <c r="H271" s="59">
        <v>2</v>
      </c>
      <c r="I271" s="59" t="s">
        <v>12</v>
      </c>
      <c r="J271" s="86">
        <v>0.63680555555555551</v>
      </c>
      <c r="K271" s="59">
        <v>0</v>
      </c>
      <c r="L271" s="59">
        <v>0</v>
      </c>
      <c r="M271" s="59">
        <v>100</v>
      </c>
      <c r="N271" s="59" t="s">
        <v>152</v>
      </c>
      <c r="O271" s="59"/>
    </row>
    <row r="272" spans="1:15" x14ac:dyDescent="0.25">
      <c r="A272" s="59" t="s">
        <v>157</v>
      </c>
      <c r="B272" s="59" t="s">
        <v>119</v>
      </c>
      <c r="C272" s="59" t="s">
        <v>118</v>
      </c>
      <c r="D272" s="59" t="s">
        <v>49</v>
      </c>
      <c r="E272" s="59">
        <v>5</v>
      </c>
      <c r="F272" s="59" t="s">
        <v>46</v>
      </c>
      <c r="G272" s="59">
        <v>5</v>
      </c>
      <c r="H272" s="59">
        <v>1</v>
      </c>
      <c r="I272" s="59" t="s">
        <v>9</v>
      </c>
      <c r="J272" s="86">
        <v>0.6381944444444444</v>
      </c>
      <c r="K272" s="59">
        <v>0</v>
      </c>
      <c r="L272" s="59">
        <v>0</v>
      </c>
      <c r="M272" s="59">
        <v>95</v>
      </c>
      <c r="N272" s="59" t="s">
        <v>152</v>
      </c>
      <c r="O272" s="59"/>
    </row>
    <row r="273" spans="1:15" x14ac:dyDescent="0.25">
      <c r="A273" s="59" t="s">
        <v>157</v>
      </c>
      <c r="B273" s="59" t="s">
        <v>113</v>
      </c>
      <c r="C273" s="59" t="s">
        <v>112</v>
      </c>
      <c r="D273" s="59" t="s">
        <v>49</v>
      </c>
      <c r="E273" s="59">
        <v>24</v>
      </c>
      <c r="F273" s="59" t="s">
        <v>77</v>
      </c>
      <c r="G273" s="59">
        <v>5</v>
      </c>
      <c r="H273" s="59">
        <v>2</v>
      </c>
      <c r="I273" s="59" t="s">
        <v>9</v>
      </c>
      <c r="J273" s="86">
        <v>0.6381944444444444</v>
      </c>
      <c r="K273" s="59">
        <v>0</v>
      </c>
      <c r="L273" s="59">
        <v>0</v>
      </c>
      <c r="M273" s="59">
        <v>100</v>
      </c>
      <c r="N273" s="59" t="s">
        <v>152</v>
      </c>
      <c r="O273" s="59"/>
    </row>
    <row r="274" spans="1:15" x14ac:dyDescent="0.25">
      <c r="A274" s="59" t="s">
        <v>157</v>
      </c>
      <c r="B274" s="59" t="s">
        <v>92</v>
      </c>
      <c r="C274" s="59" t="s">
        <v>91</v>
      </c>
      <c r="D274" s="59" t="s">
        <v>43</v>
      </c>
      <c r="E274" s="59">
        <v>11</v>
      </c>
      <c r="F274" s="59" t="s">
        <v>72</v>
      </c>
      <c r="G274" s="59">
        <v>9</v>
      </c>
      <c r="H274" s="59">
        <v>1</v>
      </c>
      <c r="I274" s="59" t="s">
        <v>10</v>
      </c>
      <c r="J274" s="86">
        <v>0.64236111111111105</v>
      </c>
      <c r="K274" s="59">
        <v>0</v>
      </c>
      <c r="L274" s="59">
        <v>0</v>
      </c>
      <c r="M274" s="59">
        <v>150</v>
      </c>
      <c r="N274" s="59" t="s">
        <v>152</v>
      </c>
      <c r="O274" s="59"/>
    </row>
    <row r="275" spans="1:15" x14ac:dyDescent="0.25">
      <c r="A275" s="59" t="s">
        <v>157</v>
      </c>
      <c r="B275" s="59" t="s">
        <v>90</v>
      </c>
      <c r="C275" s="59" t="s">
        <v>89</v>
      </c>
      <c r="D275" s="59" t="s">
        <v>43</v>
      </c>
      <c r="E275" s="59">
        <v>2</v>
      </c>
      <c r="F275" s="59" t="s">
        <v>46</v>
      </c>
      <c r="G275" s="59">
        <v>9</v>
      </c>
      <c r="H275" s="59">
        <v>2</v>
      </c>
      <c r="I275" s="59" t="s">
        <v>10</v>
      </c>
      <c r="J275" s="86">
        <v>0.64236111111111105</v>
      </c>
      <c r="K275" s="59">
        <v>0</v>
      </c>
      <c r="L275" s="59">
        <v>0</v>
      </c>
      <c r="M275" s="59">
        <v>160</v>
      </c>
      <c r="N275" s="59" t="s">
        <v>152</v>
      </c>
      <c r="O275" s="59"/>
    </row>
    <row r="276" spans="1:15" x14ac:dyDescent="0.25">
      <c r="A276" s="59" t="s">
        <v>157</v>
      </c>
      <c r="B276" s="59" t="s">
        <v>109</v>
      </c>
      <c r="C276" s="59" t="s">
        <v>108</v>
      </c>
      <c r="D276" s="59" t="s">
        <v>49</v>
      </c>
      <c r="E276" s="59">
        <v>43</v>
      </c>
      <c r="F276" s="59" t="s">
        <v>44</v>
      </c>
      <c r="G276" s="59">
        <v>6</v>
      </c>
      <c r="H276" s="59">
        <v>1</v>
      </c>
      <c r="I276" s="59" t="s">
        <v>11</v>
      </c>
      <c r="J276" s="86">
        <v>0.64236111111111116</v>
      </c>
      <c r="K276" s="59">
        <v>0</v>
      </c>
      <c r="L276" s="59">
        <v>0</v>
      </c>
      <c r="M276" s="59">
        <v>100</v>
      </c>
      <c r="N276" s="59" t="s">
        <v>152</v>
      </c>
      <c r="O276" s="59"/>
    </row>
    <row r="277" spans="1:15" x14ac:dyDescent="0.25">
      <c r="A277" s="59" t="s">
        <v>157</v>
      </c>
      <c r="B277" s="59" t="s">
        <v>99</v>
      </c>
      <c r="C277" s="59" t="s">
        <v>98</v>
      </c>
      <c r="D277" s="59" t="s">
        <v>49</v>
      </c>
      <c r="E277" s="59">
        <v>14</v>
      </c>
      <c r="F277" s="59" t="s">
        <v>72</v>
      </c>
      <c r="G277" s="59">
        <v>6</v>
      </c>
      <c r="H277" s="59">
        <v>2</v>
      </c>
      <c r="I277" s="59" t="s">
        <v>11</v>
      </c>
      <c r="J277" s="86">
        <v>0.64236111111111116</v>
      </c>
      <c r="K277" s="59">
        <v>0</v>
      </c>
      <c r="L277" s="59">
        <v>0</v>
      </c>
      <c r="M277" s="59">
        <v>100</v>
      </c>
      <c r="N277" s="59" t="s">
        <v>152</v>
      </c>
      <c r="O277" s="59"/>
    </row>
    <row r="278" spans="1:15" x14ac:dyDescent="0.25">
      <c r="A278" s="59" t="s">
        <v>157</v>
      </c>
      <c r="B278" s="59" t="s">
        <v>109</v>
      </c>
      <c r="C278" s="59" t="s">
        <v>108</v>
      </c>
      <c r="D278" s="59" t="s">
        <v>49</v>
      </c>
      <c r="E278" s="59">
        <v>43</v>
      </c>
      <c r="F278" s="59" t="s">
        <v>44</v>
      </c>
      <c r="G278" s="59">
        <v>6</v>
      </c>
      <c r="H278" s="59">
        <v>1</v>
      </c>
      <c r="I278" s="59" t="s">
        <v>12</v>
      </c>
      <c r="J278" s="86">
        <v>0.6430555555555556</v>
      </c>
      <c r="K278" s="59">
        <v>0</v>
      </c>
      <c r="L278" s="59">
        <v>0</v>
      </c>
      <c r="M278" s="59">
        <v>100</v>
      </c>
      <c r="N278" s="59" t="s">
        <v>152</v>
      </c>
      <c r="O278" s="59"/>
    </row>
    <row r="279" spans="1:15" x14ac:dyDescent="0.25">
      <c r="A279" s="59" t="s">
        <v>157</v>
      </c>
      <c r="B279" s="59" t="s">
        <v>99</v>
      </c>
      <c r="C279" s="59" t="s">
        <v>98</v>
      </c>
      <c r="D279" s="59" t="s">
        <v>49</v>
      </c>
      <c r="E279" s="59">
        <v>14</v>
      </c>
      <c r="F279" s="59" t="s">
        <v>72</v>
      </c>
      <c r="G279" s="59">
        <v>6</v>
      </c>
      <c r="H279" s="59">
        <v>2</v>
      </c>
      <c r="I279" s="59" t="s">
        <v>12</v>
      </c>
      <c r="J279" s="86">
        <v>0.6430555555555556</v>
      </c>
      <c r="K279" s="59">
        <v>0</v>
      </c>
      <c r="L279" s="59">
        <v>0</v>
      </c>
      <c r="M279" s="59">
        <v>100</v>
      </c>
      <c r="N279" s="59" t="s">
        <v>152</v>
      </c>
      <c r="O279" s="59"/>
    </row>
    <row r="280" spans="1:15" x14ac:dyDescent="0.25">
      <c r="A280" s="59" t="s">
        <v>157</v>
      </c>
      <c r="B280" s="59" t="s">
        <v>109</v>
      </c>
      <c r="C280" s="59" t="s">
        <v>108</v>
      </c>
      <c r="D280" s="59" t="s">
        <v>49</v>
      </c>
      <c r="E280" s="59">
        <v>43</v>
      </c>
      <c r="F280" s="59" t="s">
        <v>44</v>
      </c>
      <c r="G280" s="59">
        <v>6</v>
      </c>
      <c r="H280" s="59">
        <v>1</v>
      </c>
      <c r="I280" s="59" t="s">
        <v>9</v>
      </c>
      <c r="J280" s="86">
        <v>0.64444444444444449</v>
      </c>
      <c r="K280" s="59">
        <v>0</v>
      </c>
      <c r="L280" s="59">
        <v>0</v>
      </c>
      <c r="M280" s="59">
        <v>100</v>
      </c>
      <c r="N280" s="59" t="s">
        <v>152</v>
      </c>
      <c r="O280" s="59"/>
    </row>
    <row r="281" spans="1:15" x14ac:dyDescent="0.25">
      <c r="A281" s="59" t="s">
        <v>157</v>
      </c>
      <c r="B281" s="59" t="s">
        <v>99</v>
      </c>
      <c r="C281" s="59" t="s">
        <v>98</v>
      </c>
      <c r="D281" s="59" t="s">
        <v>49</v>
      </c>
      <c r="E281" s="59">
        <v>14</v>
      </c>
      <c r="F281" s="59" t="s">
        <v>72</v>
      </c>
      <c r="G281" s="59">
        <v>6</v>
      </c>
      <c r="H281" s="59">
        <v>2</v>
      </c>
      <c r="I281" s="59" t="s">
        <v>9</v>
      </c>
      <c r="J281" s="86">
        <v>0.64444444444444449</v>
      </c>
      <c r="K281" s="59">
        <v>0</v>
      </c>
      <c r="L281" s="59">
        <v>0</v>
      </c>
      <c r="M281" s="59">
        <v>100</v>
      </c>
      <c r="N281" s="59" t="s">
        <v>152</v>
      </c>
      <c r="O281" s="59"/>
    </row>
    <row r="282" spans="1:15" x14ac:dyDescent="0.25">
      <c r="A282" s="59" t="s">
        <v>157</v>
      </c>
      <c r="B282" s="59" t="s">
        <v>101</v>
      </c>
      <c r="C282" s="59" t="s">
        <v>100</v>
      </c>
      <c r="D282" s="59" t="s">
        <v>43</v>
      </c>
      <c r="E282" s="59">
        <v>44</v>
      </c>
      <c r="F282" s="59" t="s">
        <v>44</v>
      </c>
      <c r="G282" s="59">
        <v>7</v>
      </c>
      <c r="H282" s="59">
        <v>1</v>
      </c>
      <c r="I282" s="59" t="s">
        <v>11</v>
      </c>
      <c r="J282" s="86">
        <v>0.64861111111111114</v>
      </c>
      <c r="K282" s="59">
        <v>0</v>
      </c>
      <c r="L282" s="59">
        <v>0</v>
      </c>
      <c r="M282" s="59">
        <v>100</v>
      </c>
      <c r="N282" s="59" t="s">
        <v>152</v>
      </c>
      <c r="O282" s="59"/>
    </row>
    <row r="283" spans="1:15" x14ac:dyDescent="0.25">
      <c r="A283" s="59" t="s">
        <v>157</v>
      </c>
      <c r="B283" s="59" t="s">
        <v>115</v>
      </c>
      <c r="C283" s="59" t="s">
        <v>114</v>
      </c>
      <c r="D283" s="59" t="s">
        <v>49</v>
      </c>
      <c r="E283" s="59">
        <v>33</v>
      </c>
      <c r="F283" s="59" t="s">
        <v>64</v>
      </c>
      <c r="G283" s="59">
        <v>7</v>
      </c>
      <c r="H283" s="59">
        <v>2</v>
      </c>
      <c r="I283" s="59" t="s">
        <v>11</v>
      </c>
      <c r="J283" s="86">
        <v>0.64861111111111114</v>
      </c>
      <c r="K283" s="59">
        <v>0</v>
      </c>
      <c r="L283" s="59">
        <v>0</v>
      </c>
      <c r="M283" s="59">
        <v>103</v>
      </c>
      <c r="N283" s="59" t="s">
        <v>152</v>
      </c>
      <c r="O283" s="59"/>
    </row>
    <row r="284" spans="1:15" x14ac:dyDescent="0.25">
      <c r="A284" s="59" t="s">
        <v>157</v>
      </c>
      <c r="B284" s="59" t="s">
        <v>101</v>
      </c>
      <c r="C284" s="59" t="s">
        <v>100</v>
      </c>
      <c r="D284" s="59" t="s">
        <v>43</v>
      </c>
      <c r="E284" s="59">
        <v>44</v>
      </c>
      <c r="F284" s="59" t="s">
        <v>44</v>
      </c>
      <c r="G284" s="59">
        <v>7</v>
      </c>
      <c r="H284" s="59">
        <v>1</v>
      </c>
      <c r="I284" s="59" t="s">
        <v>12</v>
      </c>
      <c r="J284" s="86">
        <v>0.64930555555555558</v>
      </c>
      <c r="K284" s="59">
        <v>0</v>
      </c>
      <c r="L284" s="59">
        <v>0</v>
      </c>
      <c r="M284" s="59">
        <v>100</v>
      </c>
      <c r="N284" s="59" t="s">
        <v>152</v>
      </c>
      <c r="O284" s="59"/>
    </row>
    <row r="285" spans="1:15" x14ac:dyDescent="0.25">
      <c r="A285" s="59" t="s">
        <v>157</v>
      </c>
      <c r="B285" s="59" t="s">
        <v>115</v>
      </c>
      <c r="C285" s="59" t="s">
        <v>114</v>
      </c>
      <c r="D285" s="59" t="s">
        <v>49</v>
      </c>
      <c r="E285" s="59">
        <v>33</v>
      </c>
      <c r="F285" s="59" t="s">
        <v>64</v>
      </c>
      <c r="G285" s="59">
        <v>7</v>
      </c>
      <c r="H285" s="59">
        <v>2</v>
      </c>
      <c r="I285" s="59" t="s">
        <v>12</v>
      </c>
      <c r="J285" s="86">
        <v>0.64930555555555558</v>
      </c>
      <c r="K285" s="59">
        <v>0</v>
      </c>
      <c r="L285" s="59">
        <v>0</v>
      </c>
      <c r="M285" s="59">
        <v>103</v>
      </c>
      <c r="N285" s="59" t="s">
        <v>152</v>
      </c>
      <c r="O285" s="59"/>
    </row>
    <row r="286" spans="1:15" x14ac:dyDescent="0.25">
      <c r="A286" s="59" t="s">
        <v>157</v>
      </c>
      <c r="B286" s="59" t="s">
        <v>101</v>
      </c>
      <c r="C286" s="59" t="s">
        <v>100</v>
      </c>
      <c r="D286" s="59" t="s">
        <v>43</v>
      </c>
      <c r="E286" s="59">
        <v>44</v>
      </c>
      <c r="F286" s="59" t="s">
        <v>44</v>
      </c>
      <c r="G286" s="59">
        <v>7</v>
      </c>
      <c r="H286" s="59">
        <v>1</v>
      </c>
      <c r="I286" s="59" t="s">
        <v>9</v>
      </c>
      <c r="J286" s="86">
        <v>0.65069444444444446</v>
      </c>
      <c r="K286" s="59">
        <v>0</v>
      </c>
      <c r="L286" s="59">
        <v>0</v>
      </c>
      <c r="M286" s="59">
        <v>100</v>
      </c>
      <c r="N286" s="59" t="s">
        <v>152</v>
      </c>
      <c r="O286" s="59"/>
    </row>
    <row r="287" spans="1:15" x14ac:dyDescent="0.25">
      <c r="A287" s="59" t="s">
        <v>157</v>
      </c>
      <c r="B287" s="59" t="s">
        <v>115</v>
      </c>
      <c r="C287" s="59" t="s">
        <v>114</v>
      </c>
      <c r="D287" s="59" t="s">
        <v>49</v>
      </c>
      <c r="E287" s="59">
        <v>33</v>
      </c>
      <c r="F287" s="59" t="s">
        <v>64</v>
      </c>
      <c r="G287" s="59">
        <v>7</v>
      </c>
      <c r="H287" s="59">
        <v>2</v>
      </c>
      <c r="I287" s="59" t="s">
        <v>9</v>
      </c>
      <c r="J287" s="86">
        <v>0.65069444444444446</v>
      </c>
      <c r="K287" s="59">
        <v>0</v>
      </c>
      <c r="L287" s="59">
        <v>0</v>
      </c>
      <c r="M287" s="59">
        <v>103</v>
      </c>
      <c r="N287" s="59" t="s">
        <v>152</v>
      </c>
      <c r="O287" s="59"/>
    </row>
    <row r="288" spans="1:15" x14ac:dyDescent="0.25">
      <c r="A288" s="59" t="s">
        <v>157</v>
      </c>
      <c r="B288" s="59" t="s">
        <v>97</v>
      </c>
      <c r="C288" s="59" t="s">
        <v>96</v>
      </c>
      <c r="D288" s="59" t="s">
        <v>49</v>
      </c>
      <c r="E288" s="59">
        <v>39</v>
      </c>
      <c r="F288" s="59" t="s">
        <v>51</v>
      </c>
      <c r="G288" s="59">
        <v>8</v>
      </c>
      <c r="H288" s="59">
        <v>1</v>
      </c>
      <c r="I288" s="59" t="s">
        <v>11</v>
      </c>
      <c r="J288" s="86">
        <v>0.65486111111111112</v>
      </c>
      <c r="K288" s="59">
        <v>0</v>
      </c>
      <c r="L288" s="59">
        <v>0</v>
      </c>
      <c r="M288" s="59">
        <v>110</v>
      </c>
      <c r="N288" s="59" t="s">
        <v>152</v>
      </c>
      <c r="O288" s="59"/>
    </row>
    <row r="289" spans="1:15" x14ac:dyDescent="0.25">
      <c r="A289" s="59" t="s">
        <v>157</v>
      </c>
      <c r="B289" s="59" t="s">
        <v>56</v>
      </c>
      <c r="C289" s="59" t="s">
        <v>55</v>
      </c>
      <c r="D289" s="59" t="s">
        <v>43</v>
      </c>
      <c r="E289" s="59">
        <v>38</v>
      </c>
      <c r="F289" s="59" t="s">
        <v>51</v>
      </c>
      <c r="G289" s="59">
        <v>8</v>
      </c>
      <c r="H289" s="59">
        <v>2</v>
      </c>
      <c r="I289" s="59" t="s">
        <v>11</v>
      </c>
      <c r="J289" s="86">
        <v>0.65486111111111112</v>
      </c>
      <c r="K289" s="59">
        <v>0</v>
      </c>
      <c r="L289" s="59">
        <v>0</v>
      </c>
      <c r="M289" s="59">
        <v>125</v>
      </c>
      <c r="N289" s="59" t="s">
        <v>152</v>
      </c>
      <c r="O289" s="59"/>
    </row>
    <row r="290" spans="1:15" x14ac:dyDescent="0.25">
      <c r="A290" s="59" t="s">
        <v>157</v>
      </c>
      <c r="B290" s="59" t="s">
        <v>97</v>
      </c>
      <c r="C290" s="59" t="s">
        <v>96</v>
      </c>
      <c r="D290" s="59" t="s">
        <v>49</v>
      </c>
      <c r="E290" s="59">
        <v>39</v>
      </c>
      <c r="F290" s="59" t="s">
        <v>51</v>
      </c>
      <c r="G290" s="59">
        <v>8</v>
      </c>
      <c r="H290" s="59">
        <v>1</v>
      </c>
      <c r="I290" s="59" t="s">
        <v>12</v>
      </c>
      <c r="J290" s="86">
        <v>0.65555555555555556</v>
      </c>
      <c r="K290" s="59">
        <v>0</v>
      </c>
      <c r="L290" s="59">
        <v>0</v>
      </c>
      <c r="M290" s="59">
        <v>110</v>
      </c>
      <c r="N290" s="59" t="s">
        <v>152</v>
      </c>
      <c r="O290" s="59"/>
    </row>
    <row r="291" spans="1:15" x14ac:dyDescent="0.25">
      <c r="A291" s="59" t="s">
        <v>157</v>
      </c>
      <c r="B291" s="59" t="s">
        <v>56</v>
      </c>
      <c r="C291" s="59" t="s">
        <v>55</v>
      </c>
      <c r="D291" s="59" t="s">
        <v>43</v>
      </c>
      <c r="E291" s="59">
        <v>38</v>
      </c>
      <c r="F291" s="59" t="s">
        <v>51</v>
      </c>
      <c r="G291" s="59">
        <v>8</v>
      </c>
      <c r="H291" s="59">
        <v>2</v>
      </c>
      <c r="I291" s="59" t="s">
        <v>12</v>
      </c>
      <c r="J291" s="86">
        <v>0.65555555555555556</v>
      </c>
      <c r="K291" s="59">
        <v>0</v>
      </c>
      <c r="L291" s="59">
        <v>0</v>
      </c>
      <c r="M291" s="59">
        <v>125</v>
      </c>
      <c r="N291" s="59" t="s">
        <v>152</v>
      </c>
      <c r="O291" s="59"/>
    </row>
    <row r="292" spans="1:15" x14ac:dyDescent="0.25">
      <c r="A292" s="59">
        <v>1650</v>
      </c>
      <c r="B292" s="59" t="s">
        <v>141</v>
      </c>
      <c r="C292" s="59" t="s">
        <v>140</v>
      </c>
      <c r="D292" s="59" t="s">
        <v>43</v>
      </c>
      <c r="E292" s="59">
        <v>18</v>
      </c>
      <c r="F292" s="59" t="s">
        <v>54</v>
      </c>
      <c r="G292" s="59">
        <v>1</v>
      </c>
      <c r="H292" s="59">
        <v>1</v>
      </c>
      <c r="I292" s="59" t="s">
        <v>10</v>
      </c>
      <c r="J292" s="86">
        <v>0.65555555555555556</v>
      </c>
      <c r="K292" s="59">
        <v>13</v>
      </c>
      <c r="L292" s="59" t="s">
        <v>150</v>
      </c>
      <c r="M292" s="59">
        <v>15</v>
      </c>
      <c r="N292" s="59" t="s">
        <v>151</v>
      </c>
      <c r="O292" s="59"/>
    </row>
    <row r="293" spans="1:15" x14ac:dyDescent="0.25">
      <c r="A293" s="59">
        <v>1650</v>
      </c>
      <c r="B293" s="59" t="s">
        <v>139</v>
      </c>
      <c r="C293" s="59" t="s">
        <v>89</v>
      </c>
      <c r="D293" s="59" t="s">
        <v>43</v>
      </c>
      <c r="E293" s="59">
        <v>3</v>
      </c>
      <c r="F293" s="59" t="s">
        <v>46</v>
      </c>
      <c r="G293" s="59">
        <v>1</v>
      </c>
      <c r="H293" s="59">
        <v>2</v>
      </c>
      <c r="I293" s="59" t="s">
        <v>10</v>
      </c>
      <c r="J293" s="86">
        <v>0.65555555555555556</v>
      </c>
      <c r="K293" s="59">
        <v>14</v>
      </c>
      <c r="L293" s="59" t="s">
        <v>150</v>
      </c>
      <c r="M293" s="59">
        <v>50</v>
      </c>
      <c r="N293" s="59" t="s">
        <v>151</v>
      </c>
      <c r="O293" s="59"/>
    </row>
    <row r="294" spans="1:15" x14ac:dyDescent="0.25">
      <c r="A294" s="59">
        <v>1650</v>
      </c>
      <c r="B294" s="59" t="s">
        <v>93</v>
      </c>
      <c r="C294" s="59" t="s">
        <v>62</v>
      </c>
      <c r="D294" s="59" t="s">
        <v>43</v>
      </c>
      <c r="E294" s="59">
        <v>23</v>
      </c>
      <c r="F294" s="59" t="s">
        <v>77</v>
      </c>
      <c r="G294" s="59">
        <v>1</v>
      </c>
      <c r="H294" s="59">
        <v>3</v>
      </c>
      <c r="I294" s="59" t="s">
        <v>10</v>
      </c>
      <c r="J294" s="86">
        <v>0.65555555555555556</v>
      </c>
      <c r="K294" s="59">
        <v>16</v>
      </c>
      <c r="L294" s="59" t="s">
        <v>150</v>
      </c>
      <c r="M294" s="59">
        <v>0</v>
      </c>
      <c r="N294" s="59" t="s">
        <v>151</v>
      </c>
      <c r="O294" s="59"/>
    </row>
    <row r="295" spans="1:15" x14ac:dyDescent="0.25">
      <c r="A295" s="59">
        <v>1650</v>
      </c>
      <c r="B295" s="59" t="s">
        <v>121</v>
      </c>
      <c r="C295" s="59" t="s">
        <v>120</v>
      </c>
      <c r="D295" s="59" t="s">
        <v>49</v>
      </c>
      <c r="E295" s="59">
        <v>26</v>
      </c>
      <c r="F295" s="59" t="s">
        <v>69</v>
      </c>
      <c r="G295" s="59">
        <v>1</v>
      </c>
      <c r="H295" s="59">
        <v>4</v>
      </c>
      <c r="I295" s="59" t="s">
        <v>10</v>
      </c>
      <c r="J295" s="86">
        <v>0.65555555555555556</v>
      </c>
      <c r="K295" s="59">
        <v>16</v>
      </c>
      <c r="L295" s="59" t="s">
        <v>150</v>
      </c>
      <c r="M295" s="59">
        <v>30</v>
      </c>
      <c r="N295" s="59" t="s">
        <v>151</v>
      </c>
      <c r="O295" s="59"/>
    </row>
    <row r="296" spans="1:15" x14ac:dyDescent="0.25">
      <c r="A296" s="59">
        <v>1650</v>
      </c>
      <c r="B296" s="59" t="s">
        <v>138</v>
      </c>
      <c r="C296" s="59" t="s">
        <v>137</v>
      </c>
      <c r="D296" s="59" t="s">
        <v>43</v>
      </c>
      <c r="E296" s="59">
        <v>9</v>
      </c>
      <c r="F296" s="59" t="s">
        <v>59</v>
      </c>
      <c r="G296" s="59">
        <v>1</v>
      </c>
      <c r="H296" s="59">
        <v>5</v>
      </c>
      <c r="I296" s="59" t="s">
        <v>10</v>
      </c>
      <c r="J296" s="86">
        <v>0.65555555555555556</v>
      </c>
      <c r="K296" s="59">
        <v>17</v>
      </c>
      <c r="L296" s="59" t="s">
        <v>150</v>
      </c>
      <c r="M296" s="59">
        <v>0</v>
      </c>
      <c r="N296" s="59" t="s">
        <v>151</v>
      </c>
      <c r="O296" s="59"/>
    </row>
    <row r="297" spans="1:15" x14ac:dyDescent="0.25">
      <c r="A297" s="59" t="s">
        <v>157</v>
      </c>
      <c r="B297" s="59" t="s">
        <v>97</v>
      </c>
      <c r="C297" s="59" t="s">
        <v>96</v>
      </c>
      <c r="D297" s="59" t="s">
        <v>49</v>
      </c>
      <c r="E297" s="59">
        <v>39</v>
      </c>
      <c r="F297" s="59" t="s">
        <v>51</v>
      </c>
      <c r="G297" s="59">
        <v>8</v>
      </c>
      <c r="H297" s="59">
        <v>1</v>
      </c>
      <c r="I297" s="59" t="s">
        <v>9</v>
      </c>
      <c r="J297" s="86">
        <v>0.65694444444444444</v>
      </c>
      <c r="K297" s="59">
        <v>0</v>
      </c>
      <c r="L297" s="59">
        <v>0</v>
      </c>
      <c r="M297" s="59">
        <v>110</v>
      </c>
      <c r="N297" s="59" t="s">
        <v>152</v>
      </c>
      <c r="O297" s="59"/>
    </row>
    <row r="298" spans="1:15" x14ac:dyDescent="0.25">
      <c r="A298" s="59" t="s">
        <v>157</v>
      </c>
      <c r="B298" s="59" t="s">
        <v>56</v>
      </c>
      <c r="C298" s="59" t="s">
        <v>55</v>
      </c>
      <c r="D298" s="59" t="s">
        <v>43</v>
      </c>
      <c r="E298" s="59">
        <v>38</v>
      </c>
      <c r="F298" s="59" t="s">
        <v>51</v>
      </c>
      <c r="G298" s="59">
        <v>8</v>
      </c>
      <c r="H298" s="59">
        <v>2</v>
      </c>
      <c r="I298" s="59" t="s">
        <v>9</v>
      </c>
      <c r="J298" s="86">
        <v>0.65694444444444444</v>
      </c>
      <c r="K298" s="59">
        <v>0</v>
      </c>
      <c r="L298" s="59">
        <v>0</v>
      </c>
      <c r="M298" s="59">
        <v>125</v>
      </c>
      <c r="N298" s="59" t="s">
        <v>152</v>
      </c>
      <c r="O298" s="59"/>
    </row>
    <row r="299" spans="1:15" x14ac:dyDescent="0.25">
      <c r="A299" s="59" t="s">
        <v>157</v>
      </c>
      <c r="B299" s="59" t="s">
        <v>92</v>
      </c>
      <c r="C299" s="59" t="s">
        <v>91</v>
      </c>
      <c r="D299" s="59" t="s">
        <v>43</v>
      </c>
      <c r="E299" s="59">
        <v>11</v>
      </c>
      <c r="F299" s="59" t="s">
        <v>72</v>
      </c>
      <c r="G299" s="59">
        <v>9</v>
      </c>
      <c r="H299" s="59">
        <v>1</v>
      </c>
      <c r="I299" s="59" t="s">
        <v>11</v>
      </c>
      <c r="J299" s="86">
        <v>0.66111111111111109</v>
      </c>
      <c r="K299" s="59">
        <v>0</v>
      </c>
      <c r="L299" s="59">
        <v>0</v>
      </c>
      <c r="M299" s="59">
        <v>150</v>
      </c>
      <c r="N299" s="59" t="s">
        <v>152</v>
      </c>
      <c r="O299" s="59"/>
    </row>
    <row r="300" spans="1:15" x14ac:dyDescent="0.25">
      <c r="A300" s="59" t="s">
        <v>157</v>
      </c>
      <c r="B300" s="59" t="s">
        <v>90</v>
      </c>
      <c r="C300" s="59" t="s">
        <v>89</v>
      </c>
      <c r="D300" s="59" t="s">
        <v>43</v>
      </c>
      <c r="E300" s="59">
        <v>2</v>
      </c>
      <c r="F300" s="59" t="s">
        <v>46</v>
      </c>
      <c r="G300" s="59">
        <v>9</v>
      </c>
      <c r="H300" s="59">
        <v>2</v>
      </c>
      <c r="I300" s="59" t="s">
        <v>11</v>
      </c>
      <c r="J300" s="86">
        <v>0.66111111111111109</v>
      </c>
      <c r="K300" s="59">
        <v>0</v>
      </c>
      <c r="L300" s="59">
        <v>0</v>
      </c>
      <c r="M300" s="59">
        <v>160</v>
      </c>
      <c r="N300" s="59" t="s">
        <v>152</v>
      </c>
      <c r="O300" s="59"/>
    </row>
    <row r="301" spans="1:15" x14ac:dyDescent="0.25">
      <c r="A301" s="59" t="s">
        <v>157</v>
      </c>
      <c r="B301" s="59" t="s">
        <v>92</v>
      </c>
      <c r="C301" s="59" t="s">
        <v>91</v>
      </c>
      <c r="D301" s="59" t="s">
        <v>43</v>
      </c>
      <c r="E301" s="59">
        <v>11</v>
      </c>
      <c r="F301" s="59" t="s">
        <v>72</v>
      </c>
      <c r="G301" s="59">
        <v>9</v>
      </c>
      <c r="H301" s="59">
        <v>1</v>
      </c>
      <c r="I301" s="59" t="s">
        <v>12</v>
      </c>
      <c r="J301" s="86">
        <v>0.66180555555555554</v>
      </c>
      <c r="K301" s="59">
        <v>0</v>
      </c>
      <c r="L301" s="59">
        <v>0</v>
      </c>
      <c r="M301" s="59">
        <v>150</v>
      </c>
      <c r="N301" s="59" t="s">
        <v>152</v>
      </c>
      <c r="O301" s="59"/>
    </row>
    <row r="302" spans="1:15" x14ac:dyDescent="0.25">
      <c r="A302" s="59" t="s">
        <v>157</v>
      </c>
      <c r="B302" s="59" t="s">
        <v>90</v>
      </c>
      <c r="C302" s="59" t="s">
        <v>89</v>
      </c>
      <c r="D302" s="59" t="s">
        <v>43</v>
      </c>
      <c r="E302" s="59">
        <v>2</v>
      </c>
      <c r="F302" s="59" t="s">
        <v>46</v>
      </c>
      <c r="G302" s="59">
        <v>9</v>
      </c>
      <c r="H302" s="59">
        <v>2</v>
      </c>
      <c r="I302" s="59" t="s">
        <v>12</v>
      </c>
      <c r="J302" s="86">
        <v>0.66180555555555554</v>
      </c>
      <c r="K302" s="59">
        <v>0</v>
      </c>
      <c r="L302" s="59">
        <v>0</v>
      </c>
      <c r="M302" s="59">
        <v>160</v>
      </c>
      <c r="N302" s="59" t="s">
        <v>152</v>
      </c>
      <c r="O302" s="59"/>
    </row>
    <row r="303" spans="1:15" x14ac:dyDescent="0.25">
      <c r="A303" s="59">
        <v>1650</v>
      </c>
      <c r="B303" s="59" t="s">
        <v>84</v>
      </c>
      <c r="C303" s="59" t="s">
        <v>75</v>
      </c>
      <c r="D303" s="59" t="s">
        <v>43</v>
      </c>
      <c r="E303" s="59">
        <v>21</v>
      </c>
      <c r="F303" s="59" t="s">
        <v>77</v>
      </c>
      <c r="G303" s="59">
        <v>2</v>
      </c>
      <c r="H303" s="59">
        <v>1</v>
      </c>
      <c r="I303" s="59" t="s">
        <v>10</v>
      </c>
      <c r="J303" s="86">
        <v>0.66180555555555554</v>
      </c>
      <c r="K303" s="59">
        <v>17</v>
      </c>
      <c r="L303" s="59" t="s">
        <v>150</v>
      </c>
      <c r="M303" s="59">
        <v>0</v>
      </c>
      <c r="N303" s="59" t="s">
        <v>151</v>
      </c>
      <c r="O303" s="59"/>
    </row>
    <row r="304" spans="1:15" x14ac:dyDescent="0.25">
      <c r="A304" s="59">
        <v>1650</v>
      </c>
      <c r="B304" s="59" t="s">
        <v>48</v>
      </c>
      <c r="C304" s="59" t="s">
        <v>47</v>
      </c>
      <c r="D304" s="59" t="s">
        <v>49</v>
      </c>
      <c r="E304" s="59">
        <v>4</v>
      </c>
      <c r="F304" s="59" t="s">
        <v>46</v>
      </c>
      <c r="G304" s="59">
        <v>2</v>
      </c>
      <c r="H304" s="59">
        <v>2</v>
      </c>
      <c r="I304" s="59" t="s">
        <v>10</v>
      </c>
      <c r="J304" s="86">
        <v>0.66180555555555554</v>
      </c>
      <c r="K304" s="59">
        <v>17</v>
      </c>
      <c r="L304" s="59" t="s">
        <v>150</v>
      </c>
      <c r="M304" s="59">
        <v>30</v>
      </c>
      <c r="N304" s="59" t="s">
        <v>151</v>
      </c>
      <c r="O304" s="59"/>
    </row>
    <row r="305" spans="1:15" x14ac:dyDescent="0.25">
      <c r="A305" s="59">
        <v>1650</v>
      </c>
      <c r="B305" s="59" t="s">
        <v>95</v>
      </c>
      <c r="C305" s="59" t="s">
        <v>94</v>
      </c>
      <c r="D305" s="59" t="s">
        <v>49</v>
      </c>
      <c r="E305" s="59">
        <v>40</v>
      </c>
      <c r="F305" s="59" t="s">
        <v>51</v>
      </c>
      <c r="G305" s="59">
        <v>2</v>
      </c>
      <c r="H305" s="59">
        <v>3</v>
      </c>
      <c r="I305" s="59" t="s">
        <v>10</v>
      </c>
      <c r="J305" s="86">
        <v>0.66180555555555554</v>
      </c>
      <c r="K305" s="59">
        <v>18</v>
      </c>
      <c r="L305" s="59" t="s">
        <v>150</v>
      </c>
      <c r="M305" s="59">
        <v>0</v>
      </c>
      <c r="N305" s="59" t="s">
        <v>151</v>
      </c>
      <c r="O305" s="59"/>
    </row>
    <row r="306" spans="1:15" x14ac:dyDescent="0.25">
      <c r="A306" s="59">
        <v>1650</v>
      </c>
      <c r="B306" s="59" t="s">
        <v>63</v>
      </c>
      <c r="C306" s="59" t="s">
        <v>62</v>
      </c>
      <c r="D306" s="59" t="s">
        <v>43</v>
      </c>
      <c r="E306" s="59">
        <v>31</v>
      </c>
      <c r="F306" s="59" t="s">
        <v>64</v>
      </c>
      <c r="G306" s="59">
        <v>2</v>
      </c>
      <c r="H306" s="59">
        <v>4</v>
      </c>
      <c r="I306" s="59" t="s">
        <v>10</v>
      </c>
      <c r="J306" s="86">
        <v>0.66180555555555554</v>
      </c>
      <c r="K306" s="59">
        <v>18</v>
      </c>
      <c r="L306" s="59" t="s">
        <v>150</v>
      </c>
      <c r="M306" s="59">
        <v>0</v>
      </c>
      <c r="N306" s="59" t="s">
        <v>151</v>
      </c>
      <c r="O306" s="59"/>
    </row>
    <row r="307" spans="1:15" x14ac:dyDescent="0.25">
      <c r="A307" s="59">
        <v>1650</v>
      </c>
      <c r="B307" s="59" t="s">
        <v>129</v>
      </c>
      <c r="C307" s="59" t="s">
        <v>128</v>
      </c>
      <c r="D307" s="59" t="s">
        <v>43</v>
      </c>
      <c r="E307" s="59">
        <v>45</v>
      </c>
      <c r="F307" s="59" t="s">
        <v>44</v>
      </c>
      <c r="G307" s="59">
        <v>2</v>
      </c>
      <c r="H307" s="59">
        <v>5</v>
      </c>
      <c r="I307" s="59" t="s">
        <v>10</v>
      </c>
      <c r="J307" s="86">
        <v>0.66180555555555554</v>
      </c>
      <c r="K307" s="59">
        <v>18</v>
      </c>
      <c r="L307" s="59" t="s">
        <v>150</v>
      </c>
      <c r="M307" s="59">
        <v>0</v>
      </c>
      <c r="N307" s="59" t="s">
        <v>151</v>
      </c>
      <c r="O307" s="59"/>
    </row>
    <row r="308" spans="1:15" x14ac:dyDescent="0.25">
      <c r="A308" s="59" t="s">
        <v>157</v>
      </c>
      <c r="B308" s="59" t="s">
        <v>92</v>
      </c>
      <c r="C308" s="59" t="s">
        <v>91</v>
      </c>
      <c r="D308" s="59" t="s">
        <v>43</v>
      </c>
      <c r="E308" s="59">
        <v>11</v>
      </c>
      <c r="F308" s="59" t="s">
        <v>72</v>
      </c>
      <c r="G308" s="59">
        <v>9</v>
      </c>
      <c r="H308" s="59">
        <v>1</v>
      </c>
      <c r="I308" s="59" t="s">
        <v>9</v>
      </c>
      <c r="J308" s="86">
        <v>0.66319444444444442</v>
      </c>
      <c r="K308" s="59">
        <v>0</v>
      </c>
      <c r="L308" s="59">
        <v>0</v>
      </c>
      <c r="M308" s="59">
        <v>150</v>
      </c>
      <c r="N308" s="59" t="s">
        <v>152</v>
      </c>
      <c r="O308" s="59"/>
    </row>
    <row r="309" spans="1:15" x14ac:dyDescent="0.25">
      <c r="A309" s="59" t="s">
        <v>157</v>
      </c>
      <c r="B309" s="59" t="s">
        <v>90</v>
      </c>
      <c r="C309" s="59" t="s">
        <v>89</v>
      </c>
      <c r="D309" s="59" t="s">
        <v>43</v>
      </c>
      <c r="E309" s="59">
        <v>2</v>
      </c>
      <c r="F309" s="59" t="s">
        <v>46</v>
      </c>
      <c r="G309" s="59">
        <v>9</v>
      </c>
      <c r="H309" s="59">
        <v>2</v>
      </c>
      <c r="I309" s="59" t="s">
        <v>9</v>
      </c>
      <c r="J309" s="86">
        <v>0.66319444444444442</v>
      </c>
      <c r="K309" s="59">
        <v>0</v>
      </c>
      <c r="L309" s="59">
        <v>0</v>
      </c>
      <c r="M309" s="59">
        <v>160</v>
      </c>
      <c r="N309" s="59" t="s">
        <v>152</v>
      </c>
      <c r="O309" s="59"/>
    </row>
    <row r="310" spans="1:15" x14ac:dyDescent="0.25">
      <c r="A310" s="59">
        <v>1650</v>
      </c>
      <c r="B310" s="59" t="s">
        <v>131</v>
      </c>
      <c r="C310" s="59" t="s">
        <v>130</v>
      </c>
      <c r="D310" s="59" t="s">
        <v>43</v>
      </c>
      <c r="E310" s="59">
        <v>36</v>
      </c>
      <c r="F310" s="59" t="s">
        <v>51</v>
      </c>
      <c r="G310" s="59">
        <v>3</v>
      </c>
      <c r="H310" s="59">
        <v>1</v>
      </c>
      <c r="I310" s="59" t="s">
        <v>10</v>
      </c>
      <c r="J310" s="86">
        <v>0.66805555555555562</v>
      </c>
      <c r="K310" s="59">
        <v>19</v>
      </c>
      <c r="L310" s="59" t="s">
        <v>150</v>
      </c>
      <c r="M310" s="59">
        <v>0</v>
      </c>
      <c r="N310" s="59" t="s">
        <v>151</v>
      </c>
      <c r="O310" s="59"/>
    </row>
    <row r="311" spans="1:15" x14ac:dyDescent="0.25">
      <c r="A311" s="59">
        <v>1650</v>
      </c>
      <c r="B311" s="59" t="s">
        <v>125</v>
      </c>
      <c r="C311" s="59" t="s">
        <v>124</v>
      </c>
      <c r="D311" s="59" t="s">
        <v>43</v>
      </c>
      <c r="E311" s="59">
        <v>28</v>
      </c>
      <c r="F311" s="59" t="s">
        <v>69</v>
      </c>
      <c r="G311" s="59">
        <v>3</v>
      </c>
      <c r="H311" s="59">
        <v>2</v>
      </c>
      <c r="I311" s="59" t="s">
        <v>10</v>
      </c>
      <c r="J311" s="86">
        <v>0.66805555555555562</v>
      </c>
      <c r="K311" s="59">
        <v>20</v>
      </c>
      <c r="L311" s="59" t="s">
        <v>150</v>
      </c>
      <c r="M311" s="59">
        <v>0</v>
      </c>
      <c r="N311" s="59" t="s">
        <v>151</v>
      </c>
      <c r="O311" s="59"/>
    </row>
    <row r="312" spans="1:15" x14ac:dyDescent="0.25">
      <c r="A312" s="59">
        <v>1650</v>
      </c>
      <c r="B312" s="59" t="s">
        <v>74</v>
      </c>
      <c r="C312" s="59" t="s">
        <v>73</v>
      </c>
      <c r="D312" s="59" t="s">
        <v>43</v>
      </c>
      <c r="E312" s="59">
        <v>10</v>
      </c>
      <c r="F312" s="59" t="s">
        <v>59</v>
      </c>
      <c r="G312" s="59">
        <v>3</v>
      </c>
      <c r="H312" s="59">
        <v>3</v>
      </c>
      <c r="I312" s="59" t="s">
        <v>10</v>
      </c>
      <c r="J312" s="86">
        <v>0.66805555555555562</v>
      </c>
      <c r="K312" s="59">
        <v>20</v>
      </c>
      <c r="L312" s="59" t="s">
        <v>150</v>
      </c>
      <c r="M312" s="59">
        <v>0</v>
      </c>
      <c r="N312" s="59" t="s">
        <v>151</v>
      </c>
      <c r="O312" s="59"/>
    </row>
    <row r="313" spans="1:15" x14ac:dyDescent="0.25">
      <c r="A313" s="59">
        <v>1650</v>
      </c>
      <c r="B313" s="59" t="s">
        <v>127</v>
      </c>
      <c r="C313" s="59" t="s">
        <v>126</v>
      </c>
      <c r="D313" s="59" t="s">
        <v>43</v>
      </c>
      <c r="E313" s="59">
        <v>12</v>
      </c>
      <c r="F313" s="59" t="s">
        <v>72</v>
      </c>
      <c r="G313" s="59">
        <v>3</v>
      </c>
      <c r="H313" s="59">
        <v>4</v>
      </c>
      <c r="I313" s="59" t="s">
        <v>10</v>
      </c>
      <c r="J313" s="86">
        <v>0.66805555555555562</v>
      </c>
      <c r="K313" s="59">
        <v>21</v>
      </c>
      <c r="L313" s="59" t="s">
        <v>150</v>
      </c>
      <c r="M313" s="59">
        <v>0</v>
      </c>
      <c r="N313" s="59" t="s">
        <v>151</v>
      </c>
      <c r="O313" s="59"/>
    </row>
    <row r="314" spans="1:15" x14ac:dyDescent="0.25">
      <c r="A314" s="59">
        <v>1650</v>
      </c>
      <c r="B314" s="59" t="s">
        <v>66</v>
      </c>
      <c r="C314" s="59" t="s">
        <v>65</v>
      </c>
      <c r="D314" s="59" t="s">
        <v>49</v>
      </c>
      <c r="E314" s="59">
        <v>46</v>
      </c>
      <c r="F314" s="59" t="s">
        <v>44</v>
      </c>
      <c r="G314" s="59">
        <v>3</v>
      </c>
      <c r="H314" s="59">
        <v>5</v>
      </c>
      <c r="I314" s="59" t="s">
        <v>10</v>
      </c>
      <c r="J314" s="86">
        <v>0.66805555555555562</v>
      </c>
      <c r="K314" s="59">
        <v>21</v>
      </c>
      <c r="L314" s="59" t="s">
        <v>150</v>
      </c>
      <c r="M314" s="59">
        <v>55</v>
      </c>
      <c r="N314" s="59" t="s">
        <v>151</v>
      </c>
      <c r="O314" s="59"/>
    </row>
    <row r="315" spans="1:15" x14ac:dyDescent="0.25">
      <c r="A315" s="59">
        <v>1650</v>
      </c>
      <c r="B315" s="59" t="s">
        <v>107</v>
      </c>
      <c r="C315" s="59" t="s">
        <v>106</v>
      </c>
      <c r="D315" s="59" t="s">
        <v>49</v>
      </c>
      <c r="E315" s="59">
        <v>16</v>
      </c>
      <c r="F315" s="59" t="s">
        <v>54</v>
      </c>
      <c r="G315" s="59">
        <v>4</v>
      </c>
      <c r="H315" s="59">
        <v>1</v>
      </c>
      <c r="I315" s="59" t="s">
        <v>10</v>
      </c>
      <c r="J315" s="86">
        <v>0.67430555555555549</v>
      </c>
      <c r="K315" s="59">
        <v>22</v>
      </c>
      <c r="L315" s="59" t="s">
        <v>150</v>
      </c>
      <c r="M315" s="59">
        <v>50</v>
      </c>
      <c r="N315" s="59" t="s">
        <v>151</v>
      </c>
      <c r="O315" s="59"/>
    </row>
    <row r="316" spans="1:15" x14ac:dyDescent="0.25">
      <c r="A316" s="59">
        <v>1650</v>
      </c>
      <c r="B316" s="59" t="s">
        <v>132</v>
      </c>
      <c r="C316" s="59" t="s">
        <v>85</v>
      </c>
      <c r="D316" s="59" t="s">
        <v>43</v>
      </c>
      <c r="E316" s="59">
        <v>32</v>
      </c>
      <c r="F316" s="59" t="s">
        <v>64</v>
      </c>
      <c r="G316" s="59">
        <v>4</v>
      </c>
      <c r="H316" s="59">
        <v>2</v>
      </c>
      <c r="I316" s="59" t="s">
        <v>10</v>
      </c>
      <c r="J316" s="86">
        <v>0.67430555555555549</v>
      </c>
      <c r="K316" s="59">
        <v>24</v>
      </c>
      <c r="L316" s="59" t="s">
        <v>150</v>
      </c>
      <c r="M316" s="59">
        <v>0</v>
      </c>
      <c r="N316" s="59" t="s">
        <v>151</v>
      </c>
      <c r="O316" s="59"/>
    </row>
    <row r="317" spans="1:15" x14ac:dyDescent="0.25">
      <c r="A317" s="59">
        <v>1650</v>
      </c>
      <c r="B317" s="59" t="s">
        <v>88</v>
      </c>
      <c r="C317" s="59" t="s">
        <v>87</v>
      </c>
      <c r="D317" s="59" t="s">
        <v>43</v>
      </c>
      <c r="E317" s="59">
        <v>13</v>
      </c>
      <c r="F317" s="59" t="s">
        <v>72</v>
      </c>
      <c r="G317" s="59">
        <v>4</v>
      </c>
      <c r="H317" s="59">
        <v>3</v>
      </c>
      <c r="I317" s="59" t="s">
        <v>10</v>
      </c>
      <c r="J317" s="86">
        <v>0.67430555555555549</v>
      </c>
      <c r="K317" s="59">
        <v>26</v>
      </c>
      <c r="L317" s="59" t="s">
        <v>150</v>
      </c>
      <c r="M317" s="59">
        <v>0</v>
      </c>
      <c r="N317" s="59" t="s">
        <v>151</v>
      </c>
      <c r="O317" s="59"/>
    </row>
    <row r="318" spans="1:15" x14ac:dyDescent="0.25">
      <c r="A318" s="59">
        <v>1650</v>
      </c>
      <c r="B318" s="59" t="s">
        <v>141</v>
      </c>
      <c r="C318" s="59" t="s">
        <v>140</v>
      </c>
      <c r="D318" s="59" t="s">
        <v>43</v>
      </c>
      <c r="E318" s="59">
        <v>18</v>
      </c>
      <c r="F318" s="59" t="s">
        <v>54</v>
      </c>
      <c r="G318" s="59">
        <v>1</v>
      </c>
      <c r="H318" s="59">
        <v>1</v>
      </c>
      <c r="I318" s="59" t="s">
        <v>11</v>
      </c>
      <c r="J318" s="86">
        <v>0.6743055555555556</v>
      </c>
      <c r="K318" s="59">
        <v>13</v>
      </c>
      <c r="L318" s="59" t="s">
        <v>150</v>
      </c>
      <c r="M318" s="59">
        <v>15</v>
      </c>
      <c r="N318" s="59" t="s">
        <v>151</v>
      </c>
      <c r="O318" s="59"/>
    </row>
    <row r="319" spans="1:15" x14ac:dyDescent="0.25">
      <c r="A319" s="59">
        <v>1650</v>
      </c>
      <c r="B319" s="59" t="s">
        <v>139</v>
      </c>
      <c r="C319" s="59" t="s">
        <v>89</v>
      </c>
      <c r="D319" s="59" t="s">
        <v>43</v>
      </c>
      <c r="E319" s="59">
        <v>3</v>
      </c>
      <c r="F319" s="59" t="s">
        <v>46</v>
      </c>
      <c r="G319" s="59">
        <v>1</v>
      </c>
      <c r="H319" s="59">
        <v>2</v>
      </c>
      <c r="I319" s="59" t="s">
        <v>11</v>
      </c>
      <c r="J319" s="86">
        <v>0.6743055555555556</v>
      </c>
      <c r="K319" s="59">
        <v>14</v>
      </c>
      <c r="L319" s="59" t="s">
        <v>150</v>
      </c>
      <c r="M319" s="59">
        <v>50</v>
      </c>
      <c r="N319" s="59" t="s">
        <v>151</v>
      </c>
      <c r="O319" s="59"/>
    </row>
    <row r="320" spans="1:15" x14ac:dyDescent="0.25">
      <c r="A320" s="59">
        <v>1650</v>
      </c>
      <c r="B320" s="59" t="s">
        <v>93</v>
      </c>
      <c r="C320" s="59" t="s">
        <v>62</v>
      </c>
      <c r="D320" s="59" t="s">
        <v>43</v>
      </c>
      <c r="E320" s="59">
        <v>23</v>
      </c>
      <c r="F320" s="59" t="s">
        <v>77</v>
      </c>
      <c r="G320" s="59">
        <v>1</v>
      </c>
      <c r="H320" s="59">
        <v>3</v>
      </c>
      <c r="I320" s="59" t="s">
        <v>11</v>
      </c>
      <c r="J320" s="86">
        <v>0.6743055555555556</v>
      </c>
      <c r="K320" s="59">
        <v>16</v>
      </c>
      <c r="L320" s="59" t="s">
        <v>150</v>
      </c>
      <c r="M320" s="59">
        <v>0</v>
      </c>
      <c r="N320" s="59" t="s">
        <v>151</v>
      </c>
      <c r="O320" s="59"/>
    </row>
    <row r="321" spans="1:15" x14ac:dyDescent="0.25">
      <c r="A321" s="59">
        <v>1650</v>
      </c>
      <c r="B321" s="59" t="s">
        <v>121</v>
      </c>
      <c r="C321" s="59" t="s">
        <v>120</v>
      </c>
      <c r="D321" s="59" t="s">
        <v>49</v>
      </c>
      <c r="E321" s="59">
        <v>26</v>
      </c>
      <c r="F321" s="59" t="s">
        <v>69</v>
      </c>
      <c r="G321" s="59">
        <v>1</v>
      </c>
      <c r="H321" s="59">
        <v>4</v>
      </c>
      <c r="I321" s="59" t="s">
        <v>11</v>
      </c>
      <c r="J321" s="86">
        <v>0.6743055555555556</v>
      </c>
      <c r="K321" s="59">
        <v>16</v>
      </c>
      <c r="L321" s="59" t="s">
        <v>150</v>
      </c>
      <c r="M321" s="59">
        <v>30</v>
      </c>
      <c r="N321" s="59" t="s">
        <v>151</v>
      </c>
      <c r="O321" s="59"/>
    </row>
    <row r="322" spans="1:15" x14ac:dyDescent="0.25">
      <c r="A322" s="59">
        <v>1650</v>
      </c>
      <c r="B322" s="59" t="s">
        <v>138</v>
      </c>
      <c r="C322" s="59" t="s">
        <v>137</v>
      </c>
      <c r="D322" s="59" t="s">
        <v>43</v>
      </c>
      <c r="E322" s="59">
        <v>9</v>
      </c>
      <c r="F322" s="59" t="s">
        <v>59</v>
      </c>
      <c r="G322" s="59">
        <v>1</v>
      </c>
      <c r="H322" s="59">
        <v>5</v>
      </c>
      <c r="I322" s="59" t="s">
        <v>11</v>
      </c>
      <c r="J322" s="86">
        <v>0.6743055555555556</v>
      </c>
      <c r="K322" s="59">
        <v>17</v>
      </c>
      <c r="L322" s="59" t="s">
        <v>150</v>
      </c>
      <c r="M322" s="59">
        <v>0</v>
      </c>
      <c r="N322" s="59" t="s">
        <v>151</v>
      </c>
      <c r="O322" s="59"/>
    </row>
    <row r="323" spans="1:15" x14ac:dyDescent="0.25">
      <c r="A323" s="59">
        <v>1650</v>
      </c>
      <c r="B323" s="59" t="s">
        <v>141</v>
      </c>
      <c r="C323" s="59" t="s">
        <v>140</v>
      </c>
      <c r="D323" s="59" t="s">
        <v>43</v>
      </c>
      <c r="E323" s="59">
        <v>18</v>
      </c>
      <c r="F323" s="59" t="s">
        <v>54</v>
      </c>
      <c r="G323" s="59">
        <v>1</v>
      </c>
      <c r="H323" s="59">
        <v>1</v>
      </c>
      <c r="I323" s="59" t="s">
        <v>12</v>
      </c>
      <c r="J323" s="86">
        <v>0.67500000000000004</v>
      </c>
      <c r="K323" s="59">
        <v>13</v>
      </c>
      <c r="L323" s="59" t="s">
        <v>150</v>
      </c>
      <c r="M323" s="59">
        <v>15</v>
      </c>
      <c r="N323" s="59" t="s">
        <v>151</v>
      </c>
      <c r="O323" s="59"/>
    </row>
    <row r="324" spans="1:15" x14ac:dyDescent="0.25">
      <c r="A324" s="59">
        <v>1650</v>
      </c>
      <c r="B324" s="59" t="s">
        <v>139</v>
      </c>
      <c r="C324" s="59" t="s">
        <v>89</v>
      </c>
      <c r="D324" s="59" t="s">
        <v>43</v>
      </c>
      <c r="E324" s="59">
        <v>3</v>
      </c>
      <c r="F324" s="59" t="s">
        <v>46</v>
      </c>
      <c r="G324" s="59">
        <v>1</v>
      </c>
      <c r="H324" s="59">
        <v>2</v>
      </c>
      <c r="I324" s="59" t="s">
        <v>12</v>
      </c>
      <c r="J324" s="86">
        <v>0.67500000000000004</v>
      </c>
      <c r="K324" s="59">
        <v>14</v>
      </c>
      <c r="L324" s="59" t="s">
        <v>150</v>
      </c>
      <c r="M324" s="59">
        <v>50</v>
      </c>
      <c r="N324" s="59" t="s">
        <v>151</v>
      </c>
      <c r="O324" s="59"/>
    </row>
    <row r="325" spans="1:15" x14ac:dyDescent="0.25">
      <c r="A325" s="59">
        <v>1650</v>
      </c>
      <c r="B325" s="59" t="s">
        <v>93</v>
      </c>
      <c r="C325" s="59" t="s">
        <v>62</v>
      </c>
      <c r="D325" s="59" t="s">
        <v>43</v>
      </c>
      <c r="E325" s="59">
        <v>23</v>
      </c>
      <c r="F325" s="59" t="s">
        <v>77</v>
      </c>
      <c r="G325" s="59">
        <v>1</v>
      </c>
      <c r="H325" s="59">
        <v>3</v>
      </c>
      <c r="I325" s="59" t="s">
        <v>12</v>
      </c>
      <c r="J325" s="86">
        <v>0.67500000000000004</v>
      </c>
      <c r="K325" s="59">
        <v>16</v>
      </c>
      <c r="L325" s="59" t="s">
        <v>150</v>
      </c>
      <c r="M325" s="59">
        <v>0</v>
      </c>
      <c r="N325" s="59" t="s">
        <v>151</v>
      </c>
      <c r="O325" s="59"/>
    </row>
    <row r="326" spans="1:15" x14ac:dyDescent="0.25">
      <c r="A326" s="59">
        <v>1650</v>
      </c>
      <c r="B326" s="59" t="s">
        <v>121</v>
      </c>
      <c r="C326" s="59" t="s">
        <v>120</v>
      </c>
      <c r="D326" s="59" t="s">
        <v>49</v>
      </c>
      <c r="E326" s="59">
        <v>26</v>
      </c>
      <c r="F326" s="59" t="s">
        <v>69</v>
      </c>
      <c r="G326" s="59">
        <v>1</v>
      </c>
      <c r="H326" s="59">
        <v>4</v>
      </c>
      <c r="I326" s="59" t="s">
        <v>12</v>
      </c>
      <c r="J326" s="86">
        <v>0.67500000000000004</v>
      </c>
      <c r="K326" s="59">
        <v>16</v>
      </c>
      <c r="L326" s="59" t="s">
        <v>150</v>
      </c>
      <c r="M326" s="59">
        <v>30</v>
      </c>
      <c r="N326" s="59" t="s">
        <v>151</v>
      </c>
      <c r="O326" s="59"/>
    </row>
    <row r="327" spans="1:15" x14ac:dyDescent="0.25">
      <c r="A327" s="59">
        <v>1650</v>
      </c>
      <c r="B327" s="59" t="s">
        <v>138</v>
      </c>
      <c r="C327" s="59" t="s">
        <v>137</v>
      </c>
      <c r="D327" s="59" t="s">
        <v>43</v>
      </c>
      <c r="E327" s="59">
        <v>9</v>
      </c>
      <c r="F327" s="59" t="s">
        <v>59</v>
      </c>
      <c r="G327" s="59">
        <v>1</v>
      </c>
      <c r="H327" s="59">
        <v>5</v>
      </c>
      <c r="I327" s="59" t="s">
        <v>12</v>
      </c>
      <c r="J327" s="86">
        <v>0.67500000000000004</v>
      </c>
      <c r="K327" s="59">
        <v>17</v>
      </c>
      <c r="L327" s="59" t="s">
        <v>150</v>
      </c>
      <c r="M327" s="59">
        <v>0</v>
      </c>
      <c r="N327" s="59" t="s">
        <v>151</v>
      </c>
      <c r="O327" s="59"/>
    </row>
    <row r="328" spans="1:15" x14ac:dyDescent="0.25">
      <c r="A328" s="59">
        <v>1650</v>
      </c>
      <c r="B328" s="59" t="s">
        <v>141</v>
      </c>
      <c r="C328" s="59" t="s">
        <v>140</v>
      </c>
      <c r="D328" s="59" t="s">
        <v>43</v>
      </c>
      <c r="E328" s="59">
        <v>18</v>
      </c>
      <c r="F328" s="59" t="s">
        <v>54</v>
      </c>
      <c r="G328" s="59">
        <v>1</v>
      </c>
      <c r="H328" s="59">
        <v>1</v>
      </c>
      <c r="I328" s="59" t="s">
        <v>9</v>
      </c>
      <c r="J328" s="86">
        <v>0.67638888888888893</v>
      </c>
      <c r="K328" s="59">
        <v>13</v>
      </c>
      <c r="L328" s="59" t="s">
        <v>150</v>
      </c>
      <c r="M328" s="59">
        <v>15</v>
      </c>
      <c r="N328" s="59" t="s">
        <v>151</v>
      </c>
      <c r="O328" s="59"/>
    </row>
    <row r="329" spans="1:15" x14ac:dyDescent="0.25">
      <c r="A329" s="59">
        <v>1650</v>
      </c>
      <c r="B329" s="59" t="s">
        <v>139</v>
      </c>
      <c r="C329" s="59" t="s">
        <v>89</v>
      </c>
      <c r="D329" s="59" t="s">
        <v>43</v>
      </c>
      <c r="E329" s="59">
        <v>3</v>
      </c>
      <c r="F329" s="59" t="s">
        <v>46</v>
      </c>
      <c r="G329" s="59">
        <v>1</v>
      </c>
      <c r="H329" s="59">
        <v>2</v>
      </c>
      <c r="I329" s="59" t="s">
        <v>9</v>
      </c>
      <c r="J329" s="86">
        <v>0.67638888888888893</v>
      </c>
      <c r="K329" s="59">
        <v>14</v>
      </c>
      <c r="L329" s="59" t="s">
        <v>150</v>
      </c>
      <c r="M329" s="59">
        <v>50</v>
      </c>
      <c r="N329" s="59" t="s">
        <v>151</v>
      </c>
      <c r="O329" s="59"/>
    </row>
    <row r="330" spans="1:15" x14ac:dyDescent="0.25">
      <c r="A330" s="59">
        <v>1650</v>
      </c>
      <c r="B330" s="59" t="s">
        <v>93</v>
      </c>
      <c r="C330" s="59" t="s">
        <v>62</v>
      </c>
      <c r="D330" s="59" t="s">
        <v>43</v>
      </c>
      <c r="E330" s="59">
        <v>23</v>
      </c>
      <c r="F330" s="59" t="s">
        <v>77</v>
      </c>
      <c r="G330" s="59">
        <v>1</v>
      </c>
      <c r="H330" s="59">
        <v>3</v>
      </c>
      <c r="I330" s="59" t="s">
        <v>9</v>
      </c>
      <c r="J330" s="86">
        <v>0.67638888888888893</v>
      </c>
      <c r="K330" s="59">
        <v>16</v>
      </c>
      <c r="L330" s="59" t="s">
        <v>150</v>
      </c>
      <c r="M330" s="59">
        <v>0</v>
      </c>
      <c r="N330" s="59" t="s">
        <v>151</v>
      </c>
      <c r="O330" s="59"/>
    </row>
    <row r="331" spans="1:15" x14ac:dyDescent="0.25">
      <c r="A331" s="59">
        <v>1650</v>
      </c>
      <c r="B331" s="59" t="s">
        <v>121</v>
      </c>
      <c r="C331" s="59" t="s">
        <v>120</v>
      </c>
      <c r="D331" s="59" t="s">
        <v>49</v>
      </c>
      <c r="E331" s="59">
        <v>26</v>
      </c>
      <c r="F331" s="59" t="s">
        <v>69</v>
      </c>
      <c r="G331" s="59">
        <v>1</v>
      </c>
      <c r="H331" s="59">
        <v>4</v>
      </c>
      <c r="I331" s="59" t="s">
        <v>9</v>
      </c>
      <c r="J331" s="86">
        <v>0.67638888888888893</v>
      </c>
      <c r="K331" s="59">
        <v>16</v>
      </c>
      <c r="L331" s="59" t="s">
        <v>150</v>
      </c>
      <c r="M331" s="59">
        <v>30</v>
      </c>
      <c r="N331" s="59" t="s">
        <v>151</v>
      </c>
      <c r="O331" s="59"/>
    </row>
    <row r="332" spans="1:15" x14ac:dyDescent="0.25">
      <c r="A332" s="59">
        <v>1650</v>
      </c>
      <c r="B332" s="59" t="s">
        <v>138</v>
      </c>
      <c r="C332" s="59" t="s">
        <v>137</v>
      </c>
      <c r="D332" s="59" t="s">
        <v>43</v>
      </c>
      <c r="E332" s="59">
        <v>9</v>
      </c>
      <c r="F332" s="59" t="s">
        <v>59</v>
      </c>
      <c r="G332" s="59">
        <v>1</v>
      </c>
      <c r="H332" s="59">
        <v>5</v>
      </c>
      <c r="I332" s="59" t="s">
        <v>9</v>
      </c>
      <c r="J332" s="86">
        <v>0.67638888888888893</v>
      </c>
      <c r="K332" s="59">
        <v>17</v>
      </c>
      <c r="L332" s="59" t="s">
        <v>150</v>
      </c>
      <c r="M332" s="59">
        <v>0</v>
      </c>
      <c r="N332" s="59" t="s">
        <v>151</v>
      </c>
      <c r="O332" s="59"/>
    </row>
    <row r="333" spans="1:15" x14ac:dyDescent="0.25">
      <c r="A333" s="59">
        <v>1650</v>
      </c>
      <c r="B333" s="59" t="s">
        <v>84</v>
      </c>
      <c r="C333" s="59" t="s">
        <v>75</v>
      </c>
      <c r="D333" s="59" t="s">
        <v>43</v>
      </c>
      <c r="E333" s="59">
        <v>21</v>
      </c>
      <c r="F333" s="59" t="s">
        <v>77</v>
      </c>
      <c r="G333" s="59">
        <v>2</v>
      </c>
      <c r="H333" s="59">
        <v>1</v>
      </c>
      <c r="I333" s="59" t="s">
        <v>11</v>
      </c>
      <c r="J333" s="86">
        <v>0.68055555555555558</v>
      </c>
      <c r="K333" s="59">
        <v>17</v>
      </c>
      <c r="L333" s="59" t="s">
        <v>150</v>
      </c>
      <c r="M333" s="59">
        <v>0</v>
      </c>
      <c r="N333" s="59" t="s">
        <v>151</v>
      </c>
      <c r="O333" s="59"/>
    </row>
    <row r="334" spans="1:15" x14ac:dyDescent="0.25">
      <c r="A334" s="59">
        <v>1650</v>
      </c>
      <c r="B334" s="59" t="s">
        <v>48</v>
      </c>
      <c r="C334" s="59" t="s">
        <v>47</v>
      </c>
      <c r="D334" s="59" t="s">
        <v>49</v>
      </c>
      <c r="E334" s="59">
        <v>4</v>
      </c>
      <c r="F334" s="59" t="s">
        <v>46</v>
      </c>
      <c r="G334" s="59">
        <v>2</v>
      </c>
      <c r="H334" s="59">
        <v>2</v>
      </c>
      <c r="I334" s="59" t="s">
        <v>11</v>
      </c>
      <c r="J334" s="86">
        <v>0.68055555555555558</v>
      </c>
      <c r="K334" s="59">
        <v>17</v>
      </c>
      <c r="L334" s="59" t="s">
        <v>150</v>
      </c>
      <c r="M334" s="59">
        <v>30</v>
      </c>
      <c r="N334" s="59" t="s">
        <v>151</v>
      </c>
      <c r="O334" s="59"/>
    </row>
    <row r="335" spans="1:15" x14ac:dyDescent="0.25">
      <c r="A335" s="59">
        <v>1650</v>
      </c>
      <c r="B335" s="59" t="s">
        <v>95</v>
      </c>
      <c r="C335" s="59" t="s">
        <v>94</v>
      </c>
      <c r="D335" s="59" t="s">
        <v>49</v>
      </c>
      <c r="E335" s="59">
        <v>40</v>
      </c>
      <c r="F335" s="59" t="s">
        <v>51</v>
      </c>
      <c r="G335" s="59">
        <v>2</v>
      </c>
      <c r="H335" s="59">
        <v>3</v>
      </c>
      <c r="I335" s="59" t="s">
        <v>11</v>
      </c>
      <c r="J335" s="86">
        <v>0.68055555555555558</v>
      </c>
      <c r="K335" s="59">
        <v>18</v>
      </c>
      <c r="L335" s="59" t="s">
        <v>150</v>
      </c>
      <c r="M335" s="59">
        <v>0</v>
      </c>
      <c r="N335" s="59" t="s">
        <v>151</v>
      </c>
      <c r="O335" s="59"/>
    </row>
    <row r="336" spans="1:15" x14ac:dyDescent="0.25">
      <c r="A336" s="59">
        <v>1650</v>
      </c>
      <c r="B336" s="59" t="s">
        <v>63</v>
      </c>
      <c r="C336" s="59" t="s">
        <v>62</v>
      </c>
      <c r="D336" s="59" t="s">
        <v>43</v>
      </c>
      <c r="E336" s="59">
        <v>31</v>
      </c>
      <c r="F336" s="59" t="s">
        <v>64</v>
      </c>
      <c r="G336" s="59">
        <v>2</v>
      </c>
      <c r="H336" s="59">
        <v>4</v>
      </c>
      <c r="I336" s="59" t="s">
        <v>11</v>
      </c>
      <c r="J336" s="86">
        <v>0.68055555555555558</v>
      </c>
      <c r="K336" s="59">
        <v>18</v>
      </c>
      <c r="L336" s="59" t="s">
        <v>150</v>
      </c>
      <c r="M336" s="59">
        <v>0</v>
      </c>
      <c r="N336" s="59" t="s">
        <v>151</v>
      </c>
      <c r="O336" s="59"/>
    </row>
    <row r="337" spans="1:15" x14ac:dyDescent="0.25">
      <c r="A337" s="59">
        <v>1650</v>
      </c>
      <c r="B337" s="59" t="s">
        <v>129</v>
      </c>
      <c r="C337" s="59" t="s">
        <v>128</v>
      </c>
      <c r="D337" s="59" t="s">
        <v>43</v>
      </c>
      <c r="E337" s="59">
        <v>45</v>
      </c>
      <c r="F337" s="59" t="s">
        <v>44</v>
      </c>
      <c r="G337" s="59">
        <v>2</v>
      </c>
      <c r="H337" s="59">
        <v>5</v>
      </c>
      <c r="I337" s="59" t="s">
        <v>11</v>
      </c>
      <c r="J337" s="86">
        <v>0.68055555555555558</v>
      </c>
      <c r="K337" s="59">
        <v>18</v>
      </c>
      <c r="L337" s="59" t="s">
        <v>150</v>
      </c>
      <c r="M337" s="59">
        <v>0</v>
      </c>
      <c r="N337" s="59" t="s">
        <v>151</v>
      </c>
      <c r="O337" s="59"/>
    </row>
    <row r="338" spans="1:15" x14ac:dyDescent="0.25">
      <c r="A338" s="59">
        <v>1650</v>
      </c>
      <c r="B338" s="59" t="s">
        <v>84</v>
      </c>
      <c r="C338" s="59" t="s">
        <v>75</v>
      </c>
      <c r="D338" s="59" t="s">
        <v>43</v>
      </c>
      <c r="E338" s="59">
        <v>21</v>
      </c>
      <c r="F338" s="59" t="s">
        <v>77</v>
      </c>
      <c r="G338" s="59">
        <v>2</v>
      </c>
      <c r="H338" s="59">
        <v>1</v>
      </c>
      <c r="I338" s="59" t="s">
        <v>12</v>
      </c>
      <c r="J338" s="86">
        <v>0.68125000000000002</v>
      </c>
      <c r="K338" s="59">
        <v>17</v>
      </c>
      <c r="L338" s="59" t="s">
        <v>150</v>
      </c>
      <c r="M338" s="59">
        <v>0</v>
      </c>
      <c r="N338" s="59" t="s">
        <v>151</v>
      </c>
      <c r="O338" s="59"/>
    </row>
    <row r="339" spans="1:15" x14ac:dyDescent="0.25">
      <c r="A339" s="59">
        <v>1650</v>
      </c>
      <c r="B339" s="59" t="s">
        <v>48</v>
      </c>
      <c r="C339" s="59" t="s">
        <v>47</v>
      </c>
      <c r="D339" s="59" t="s">
        <v>49</v>
      </c>
      <c r="E339" s="59">
        <v>4</v>
      </c>
      <c r="F339" s="59" t="s">
        <v>46</v>
      </c>
      <c r="G339" s="59">
        <v>2</v>
      </c>
      <c r="H339" s="59">
        <v>2</v>
      </c>
      <c r="I339" s="59" t="s">
        <v>12</v>
      </c>
      <c r="J339" s="86">
        <v>0.68125000000000002</v>
      </c>
      <c r="K339" s="59">
        <v>17</v>
      </c>
      <c r="L339" s="59" t="s">
        <v>150</v>
      </c>
      <c r="M339" s="59">
        <v>30</v>
      </c>
      <c r="N339" s="59" t="s">
        <v>151</v>
      </c>
      <c r="O339" s="59"/>
    </row>
    <row r="340" spans="1:15" x14ac:dyDescent="0.25">
      <c r="A340" s="59">
        <v>1650</v>
      </c>
      <c r="B340" s="59" t="s">
        <v>95</v>
      </c>
      <c r="C340" s="59" t="s">
        <v>94</v>
      </c>
      <c r="D340" s="59" t="s">
        <v>49</v>
      </c>
      <c r="E340" s="59">
        <v>40</v>
      </c>
      <c r="F340" s="59" t="s">
        <v>51</v>
      </c>
      <c r="G340" s="59">
        <v>2</v>
      </c>
      <c r="H340" s="59">
        <v>3</v>
      </c>
      <c r="I340" s="59" t="s">
        <v>12</v>
      </c>
      <c r="J340" s="86">
        <v>0.68125000000000002</v>
      </c>
      <c r="K340" s="59">
        <v>18</v>
      </c>
      <c r="L340" s="59" t="s">
        <v>150</v>
      </c>
      <c r="M340" s="59">
        <v>0</v>
      </c>
      <c r="N340" s="59" t="s">
        <v>151</v>
      </c>
      <c r="O340" s="59"/>
    </row>
    <row r="341" spans="1:15" x14ac:dyDescent="0.25">
      <c r="A341" s="59">
        <v>1650</v>
      </c>
      <c r="B341" s="59" t="s">
        <v>63</v>
      </c>
      <c r="C341" s="59" t="s">
        <v>62</v>
      </c>
      <c r="D341" s="59" t="s">
        <v>43</v>
      </c>
      <c r="E341" s="59">
        <v>31</v>
      </c>
      <c r="F341" s="59" t="s">
        <v>64</v>
      </c>
      <c r="G341" s="59">
        <v>2</v>
      </c>
      <c r="H341" s="59">
        <v>4</v>
      </c>
      <c r="I341" s="59" t="s">
        <v>12</v>
      </c>
      <c r="J341" s="86">
        <v>0.68125000000000002</v>
      </c>
      <c r="K341" s="59">
        <v>18</v>
      </c>
      <c r="L341" s="59" t="s">
        <v>150</v>
      </c>
      <c r="M341" s="59">
        <v>0</v>
      </c>
      <c r="N341" s="59" t="s">
        <v>151</v>
      </c>
      <c r="O341" s="59"/>
    </row>
    <row r="342" spans="1:15" x14ac:dyDescent="0.25">
      <c r="A342" s="59">
        <v>1650</v>
      </c>
      <c r="B342" s="59" t="s">
        <v>129</v>
      </c>
      <c r="C342" s="59" t="s">
        <v>128</v>
      </c>
      <c r="D342" s="59" t="s">
        <v>43</v>
      </c>
      <c r="E342" s="59">
        <v>45</v>
      </c>
      <c r="F342" s="59" t="s">
        <v>44</v>
      </c>
      <c r="G342" s="59">
        <v>2</v>
      </c>
      <c r="H342" s="59">
        <v>5</v>
      </c>
      <c r="I342" s="59" t="s">
        <v>12</v>
      </c>
      <c r="J342" s="86">
        <v>0.68125000000000002</v>
      </c>
      <c r="K342" s="59">
        <v>18</v>
      </c>
      <c r="L342" s="59" t="s">
        <v>150</v>
      </c>
      <c r="M342" s="59">
        <v>0</v>
      </c>
      <c r="N342" s="59" t="s">
        <v>151</v>
      </c>
      <c r="O342" s="59"/>
    </row>
    <row r="343" spans="1:15" x14ac:dyDescent="0.25">
      <c r="A343" s="59">
        <v>1650</v>
      </c>
      <c r="B343" s="59" t="s">
        <v>84</v>
      </c>
      <c r="C343" s="59" t="s">
        <v>75</v>
      </c>
      <c r="D343" s="59" t="s">
        <v>43</v>
      </c>
      <c r="E343" s="59">
        <v>21</v>
      </c>
      <c r="F343" s="59" t="s">
        <v>77</v>
      </c>
      <c r="G343" s="59">
        <v>2</v>
      </c>
      <c r="H343" s="59">
        <v>1</v>
      </c>
      <c r="I343" s="59" t="s">
        <v>9</v>
      </c>
      <c r="J343" s="86">
        <v>0.68263888888888891</v>
      </c>
      <c r="K343" s="59">
        <v>17</v>
      </c>
      <c r="L343" s="59" t="s">
        <v>150</v>
      </c>
      <c r="M343" s="59">
        <v>0</v>
      </c>
      <c r="N343" s="59" t="s">
        <v>151</v>
      </c>
      <c r="O343" s="59"/>
    </row>
    <row r="344" spans="1:15" x14ac:dyDescent="0.25">
      <c r="A344" s="59">
        <v>1650</v>
      </c>
      <c r="B344" s="59" t="s">
        <v>48</v>
      </c>
      <c r="C344" s="59" t="s">
        <v>47</v>
      </c>
      <c r="D344" s="59" t="s">
        <v>49</v>
      </c>
      <c r="E344" s="59">
        <v>4</v>
      </c>
      <c r="F344" s="59" t="s">
        <v>46</v>
      </c>
      <c r="G344" s="59">
        <v>2</v>
      </c>
      <c r="H344" s="59">
        <v>2</v>
      </c>
      <c r="I344" s="59" t="s">
        <v>9</v>
      </c>
      <c r="J344" s="86">
        <v>0.68263888888888891</v>
      </c>
      <c r="K344" s="59">
        <v>17</v>
      </c>
      <c r="L344" s="59" t="s">
        <v>150</v>
      </c>
      <c r="M344" s="59">
        <v>30</v>
      </c>
      <c r="N344" s="59" t="s">
        <v>151</v>
      </c>
      <c r="O344" s="59"/>
    </row>
    <row r="345" spans="1:15" x14ac:dyDescent="0.25">
      <c r="A345" s="59">
        <v>1650</v>
      </c>
      <c r="B345" s="59" t="s">
        <v>95</v>
      </c>
      <c r="C345" s="59" t="s">
        <v>94</v>
      </c>
      <c r="D345" s="59" t="s">
        <v>49</v>
      </c>
      <c r="E345" s="59">
        <v>40</v>
      </c>
      <c r="F345" s="59" t="s">
        <v>51</v>
      </c>
      <c r="G345" s="59">
        <v>2</v>
      </c>
      <c r="H345" s="59">
        <v>3</v>
      </c>
      <c r="I345" s="59" t="s">
        <v>9</v>
      </c>
      <c r="J345" s="86">
        <v>0.68263888888888891</v>
      </c>
      <c r="K345" s="59">
        <v>18</v>
      </c>
      <c r="L345" s="59" t="s">
        <v>150</v>
      </c>
      <c r="M345" s="59">
        <v>0</v>
      </c>
      <c r="N345" s="59" t="s">
        <v>151</v>
      </c>
      <c r="O345" s="59"/>
    </row>
    <row r="346" spans="1:15" x14ac:dyDescent="0.25">
      <c r="A346" s="59">
        <v>1650</v>
      </c>
      <c r="B346" s="59" t="s">
        <v>63</v>
      </c>
      <c r="C346" s="59" t="s">
        <v>62</v>
      </c>
      <c r="D346" s="59" t="s">
        <v>43</v>
      </c>
      <c r="E346" s="59">
        <v>31</v>
      </c>
      <c r="F346" s="59" t="s">
        <v>64</v>
      </c>
      <c r="G346" s="59">
        <v>2</v>
      </c>
      <c r="H346" s="59">
        <v>4</v>
      </c>
      <c r="I346" s="59" t="s">
        <v>9</v>
      </c>
      <c r="J346" s="86">
        <v>0.68263888888888891</v>
      </c>
      <c r="K346" s="59">
        <v>18</v>
      </c>
      <c r="L346" s="59" t="s">
        <v>150</v>
      </c>
      <c r="M346" s="59">
        <v>0</v>
      </c>
      <c r="N346" s="59" t="s">
        <v>151</v>
      </c>
      <c r="O346" s="59"/>
    </row>
    <row r="347" spans="1:15" x14ac:dyDescent="0.25">
      <c r="A347" s="59">
        <v>1650</v>
      </c>
      <c r="B347" s="59" t="s">
        <v>129</v>
      </c>
      <c r="C347" s="59" t="s">
        <v>128</v>
      </c>
      <c r="D347" s="59" t="s">
        <v>43</v>
      </c>
      <c r="E347" s="59">
        <v>45</v>
      </c>
      <c r="F347" s="59" t="s">
        <v>44</v>
      </c>
      <c r="G347" s="59">
        <v>2</v>
      </c>
      <c r="H347" s="59">
        <v>5</v>
      </c>
      <c r="I347" s="59" t="s">
        <v>9</v>
      </c>
      <c r="J347" s="86">
        <v>0.68263888888888891</v>
      </c>
      <c r="K347" s="59">
        <v>18</v>
      </c>
      <c r="L347" s="59" t="s">
        <v>150</v>
      </c>
      <c r="M347" s="59">
        <v>0</v>
      </c>
      <c r="N347" s="59" t="s">
        <v>151</v>
      </c>
      <c r="O347" s="59"/>
    </row>
    <row r="348" spans="1:15" x14ac:dyDescent="0.25">
      <c r="A348" s="59">
        <v>1650</v>
      </c>
      <c r="B348" s="59" t="s">
        <v>131</v>
      </c>
      <c r="C348" s="59" t="s">
        <v>130</v>
      </c>
      <c r="D348" s="59" t="s">
        <v>43</v>
      </c>
      <c r="E348" s="59">
        <v>36</v>
      </c>
      <c r="F348" s="59" t="s">
        <v>51</v>
      </c>
      <c r="G348" s="59">
        <v>3</v>
      </c>
      <c r="H348" s="59">
        <v>1</v>
      </c>
      <c r="I348" s="59" t="s">
        <v>11</v>
      </c>
      <c r="J348" s="86">
        <v>0.68680555555555567</v>
      </c>
      <c r="K348" s="59">
        <v>19</v>
      </c>
      <c r="L348" s="59" t="s">
        <v>150</v>
      </c>
      <c r="M348" s="59">
        <v>0</v>
      </c>
      <c r="N348" s="59" t="s">
        <v>151</v>
      </c>
      <c r="O348" s="59"/>
    </row>
    <row r="349" spans="1:15" x14ac:dyDescent="0.25">
      <c r="A349" s="59">
        <v>1650</v>
      </c>
      <c r="B349" s="59" t="s">
        <v>125</v>
      </c>
      <c r="C349" s="59" t="s">
        <v>124</v>
      </c>
      <c r="D349" s="59" t="s">
        <v>43</v>
      </c>
      <c r="E349" s="59">
        <v>28</v>
      </c>
      <c r="F349" s="59" t="s">
        <v>69</v>
      </c>
      <c r="G349" s="59">
        <v>3</v>
      </c>
      <c r="H349" s="59">
        <v>2</v>
      </c>
      <c r="I349" s="59" t="s">
        <v>11</v>
      </c>
      <c r="J349" s="86">
        <v>0.68680555555555567</v>
      </c>
      <c r="K349" s="59">
        <v>20</v>
      </c>
      <c r="L349" s="59" t="s">
        <v>150</v>
      </c>
      <c r="M349" s="59">
        <v>0</v>
      </c>
      <c r="N349" s="59" t="s">
        <v>151</v>
      </c>
      <c r="O349" s="59"/>
    </row>
    <row r="350" spans="1:15" x14ac:dyDescent="0.25">
      <c r="A350" s="59">
        <v>1650</v>
      </c>
      <c r="B350" s="59" t="s">
        <v>74</v>
      </c>
      <c r="C350" s="59" t="s">
        <v>73</v>
      </c>
      <c r="D350" s="59" t="s">
        <v>43</v>
      </c>
      <c r="E350" s="59">
        <v>10</v>
      </c>
      <c r="F350" s="59" t="s">
        <v>59</v>
      </c>
      <c r="G350" s="59">
        <v>3</v>
      </c>
      <c r="H350" s="59">
        <v>3</v>
      </c>
      <c r="I350" s="59" t="s">
        <v>11</v>
      </c>
      <c r="J350" s="86">
        <v>0.68680555555555567</v>
      </c>
      <c r="K350" s="59">
        <v>20</v>
      </c>
      <c r="L350" s="59" t="s">
        <v>150</v>
      </c>
      <c r="M350" s="59">
        <v>0</v>
      </c>
      <c r="N350" s="59" t="s">
        <v>151</v>
      </c>
      <c r="O350" s="59"/>
    </row>
    <row r="351" spans="1:15" x14ac:dyDescent="0.25">
      <c r="A351" s="59">
        <v>1650</v>
      </c>
      <c r="B351" s="59" t="s">
        <v>127</v>
      </c>
      <c r="C351" s="59" t="s">
        <v>126</v>
      </c>
      <c r="D351" s="59" t="s">
        <v>43</v>
      </c>
      <c r="E351" s="59">
        <v>12</v>
      </c>
      <c r="F351" s="59" t="s">
        <v>72</v>
      </c>
      <c r="G351" s="59">
        <v>3</v>
      </c>
      <c r="H351" s="59">
        <v>4</v>
      </c>
      <c r="I351" s="59" t="s">
        <v>11</v>
      </c>
      <c r="J351" s="86">
        <v>0.68680555555555567</v>
      </c>
      <c r="K351" s="59">
        <v>21</v>
      </c>
      <c r="L351" s="59" t="s">
        <v>150</v>
      </c>
      <c r="M351" s="59">
        <v>0</v>
      </c>
      <c r="N351" s="59" t="s">
        <v>151</v>
      </c>
      <c r="O351" s="59"/>
    </row>
    <row r="352" spans="1:15" x14ac:dyDescent="0.25">
      <c r="A352" s="59">
        <v>1650</v>
      </c>
      <c r="B352" s="59" t="s">
        <v>66</v>
      </c>
      <c r="C352" s="59" t="s">
        <v>65</v>
      </c>
      <c r="D352" s="59" t="s">
        <v>49</v>
      </c>
      <c r="E352" s="59">
        <v>46</v>
      </c>
      <c r="F352" s="59" t="s">
        <v>44</v>
      </c>
      <c r="G352" s="59">
        <v>3</v>
      </c>
      <c r="H352" s="59">
        <v>5</v>
      </c>
      <c r="I352" s="59" t="s">
        <v>11</v>
      </c>
      <c r="J352" s="86">
        <v>0.68680555555555567</v>
      </c>
      <c r="K352" s="59">
        <v>21</v>
      </c>
      <c r="L352" s="59" t="s">
        <v>150</v>
      </c>
      <c r="M352" s="59">
        <v>55</v>
      </c>
      <c r="N352" s="59" t="s">
        <v>151</v>
      </c>
      <c r="O352" s="59"/>
    </row>
    <row r="353" spans="1:15" x14ac:dyDescent="0.25">
      <c r="A353" s="59">
        <v>1650</v>
      </c>
      <c r="B353" s="59" t="s">
        <v>131</v>
      </c>
      <c r="C353" s="59" t="s">
        <v>130</v>
      </c>
      <c r="D353" s="59" t="s">
        <v>43</v>
      </c>
      <c r="E353" s="59">
        <v>36</v>
      </c>
      <c r="F353" s="59" t="s">
        <v>51</v>
      </c>
      <c r="G353" s="59">
        <v>3</v>
      </c>
      <c r="H353" s="59">
        <v>1</v>
      </c>
      <c r="I353" s="59" t="s">
        <v>12</v>
      </c>
      <c r="J353" s="86">
        <v>0.68750000000000011</v>
      </c>
      <c r="K353" s="59">
        <v>19</v>
      </c>
      <c r="L353" s="59" t="s">
        <v>150</v>
      </c>
      <c r="M353" s="59">
        <v>0</v>
      </c>
      <c r="N353" s="59" t="s">
        <v>151</v>
      </c>
      <c r="O353" s="59"/>
    </row>
    <row r="354" spans="1:15" x14ac:dyDescent="0.25">
      <c r="A354" s="59">
        <v>1650</v>
      </c>
      <c r="B354" s="59" t="s">
        <v>125</v>
      </c>
      <c r="C354" s="59" t="s">
        <v>124</v>
      </c>
      <c r="D354" s="59" t="s">
        <v>43</v>
      </c>
      <c r="E354" s="59">
        <v>28</v>
      </c>
      <c r="F354" s="59" t="s">
        <v>69</v>
      </c>
      <c r="G354" s="59">
        <v>3</v>
      </c>
      <c r="H354" s="59">
        <v>2</v>
      </c>
      <c r="I354" s="59" t="s">
        <v>12</v>
      </c>
      <c r="J354" s="86">
        <v>0.68750000000000011</v>
      </c>
      <c r="K354" s="59">
        <v>20</v>
      </c>
      <c r="L354" s="59" t="s">
        <v>150</v>
      </c>
      <c r="M354" s="59">
        <v>0</v>
      </c>
      <c r="N354" s="59" t="s">
        <v>151</v>
      </c>
      <c r="O354" s="59"/>
    </row>
    <row r="355" spans="1:15" x14ac:dyDescent="0.25">
      <c r="A355" s="59">
        <v>1650</v>
      </c>
      <c r="B355" s="59" t="s">
        <v>74</v>
      </c>
      <c r="C355" s="59" t="s">
        <v>73</v>
      </c>
      <c r="D355" s="59" t="s">
        <v>43</v>
      </c>
      <c r="E355" s="59">
        <v>10</v>
      </c>
      <c r="F355" s="59" t="s">
        <v>59</v>
      </c>
      <c r="G355" s="59">
        <v>3</v>
      </c>
      <c r="H355" s="59">
        <v>3</v>
      </c>
      <c r="I355" s="59" t="s">
        <v>12</v>
      </c>
      <c r="J355" s="86">
        <v>0.68750000000000011</v>
      </c>
      <c r="K355" s="59">
        <v>20</v>
      </c>
      <c r="L355" s="59" t="s">
        <v>150</v>
      </c>
      <c r="M355" s="59">
        <v>0</v>
      </c>
      <c r="N355" s="59" t="s">
        <v>151</v>
      </c>
      <c r="O355" s="59"/>
    </row>
    <row r="356" spans="1:15" x14ac:dyDescent="0.25">
      <c r="A356" s="59">
        <v>1650</v>
      </c>
      <c r="B356" s="59" t="s">
        <v>127</v>
      </c>
      <c r="C356" s="59" t="s">
        <v>126</v>
      </c>
      <c r="D356" s="59" t="s">
        <v>43</v>
      </c>
      <c r="E356" s="59">
        <v>12</v>
      </c>
      <c r="F356" s="59" t="s">
        <v>72</v>
      </c>
      <c r="G356" s="59">
        <v>3</v>
      </c>
      <c r="H356" s="59">
        <v>4</v>
      </c>
      <c r="I356" s="59" t="s">
        <v>12</v>
      </c>
      <c r="J356" s="86">
        <v>0.68750000000000011</v>
      </c>
      <c r="K356" s="59">
        <v>21</v>
      </c>
      <c r="L356" s="59" t="s">
        <v>150</v>
      </c>
      <c r="M356" s="59">
        <v>0</v>
      </c>
      <c r="N356" s="59" t="s">
        <v>151</v>
      </c>
      <c r="O356" s="59"/>
    </row>
    <row r="357" spans="1:15" x14ac:dyDescent="0.25">
      <c r="A357" s="59">
        <v>1650</v>
      </c>
      <c r="B357" s="59" t="s">
        <v>66</v>
      </c>
      <c r="C357" s="59" t="s">
        <v>65</v>
      </c>
      <c r="D357" s="59" t="s">
        <v>49</v>
      </c>
      <c r="E357" s="59">
        <v>46</v>
      </c>
      <c r="F357" s="59" t="s">
        <v>44</v>
      </c>
      <c r="G357" s="59">
        <v>3</v>
      </c>
      <c r="H357" s="59">
        <v>5</v>
      </c>
      <c r="I357" s="59" t="s">
        <v>12</v>
      </c>
      <c r="J357" s="86">
        <v>0.68750000000000011</v>
      </c>
      <c r="K357" s="59">
        <v>21</v>
      </c>
      <c r="L357" s="59" t="s">
        <v>150</v>
      </c>
      <c r="M357" s="59">
        <v>55</v>
      </c>
      <c r="N357" s="59" t="s">
        <v>151</v>
      </c>
      <c r="O357" s="59"/>
    </row>
    <row r="358" spans="1:15" x14ac:dyDescent="0.25">
      <c r="A358" s="59">
        <v>1650</v>
      </c>
      <c r="B358" s="59" t="s">
        <v>131</v>
      </c>
      <c r="C358" s="59" t="s">
        <v>130</v>
      </c>
      <c r="D358" s="59" t="s">
        <v>43</v>
      </c>
      <c r="E358" s="59">
        <v>36</v>
      </c>
      <c r="F358" s="59" t="s">
        <v>51</v>
      </c>
      <c r="G358" s="59">
        <v>3</v>
      </c>
      <c r="H358" s="59">
        <v>1</v>
      </c>
      <c r="I358" s="59" t="s">
        <v>9</v>
      </c>
      <c r="J358" s="86">
        <v>0.68888888888888899</v>
      </c>
      <c r="K358" s="59">
        <v>19</v>
      </c>
      <c r="L358" s="59" t="s">
        <v>150</v>
      </c>
      <c r="M358" s="59">
        <v>0</v>
      </c>
      <c r="N358" s="59" t="s">
        <v>151</v>
      </c>
      <c r="O358" s="59"/>
    </row>
    <row r="359" spans="1:15" x14ac:dyDescent="0.25">
      <c r="A359" s="59">
        <v>1650</v>
      </c>
      <c r="B359" s="59" t="s">
        <v>125</v>
      </c>
      <c r="C359" s="59" t="s">
        <v>124</v>
      </c>
      <c r="D359" s="59" t="s">
        <v>43</v>
      </c>
      <c r="E359" s="59">
        <v>28</v>
      </c>
      <c r="F359" s="59" t="s">
        <v>69</v>
      </c>
      <c r="G359" s="59">
        <v>3</v>
      </c>
      <c r="H359" s="59">
        <v>2</v>
      </c>
      <c r="I359" s="59" t="s">
        <v>9</v>
      </c>
      <c r="J359" s="86">
        <v>0.68888888888888899</v>
      </c>
      <c r="K359" s="59">
        <v>20</v>
      </c>
      <c r="L359" s="59" t="s">
        <v>150</v>
      </c>
      <c r="M359" s="59">
        <v>0</v>
      </c>
      <c r="N359" s="59" t="s">
        <v>151</v>
      </c>
      <c r="O359" s="59"/>
    </row>
    <row r="360" spans="1:15" x14ac:dyDescent="0.25">
      <c r="A360" s="59">
        <v>1650</v>
      </c>
      <c r="B360" s="59" t="s">
        <v>74</v>
      </c>
      <c r="C360" s="59" t="s">
        <v>73</v>
      </c>
      <c r="D360" s="59" t="s">
        <v>43</v>
      </c>
      <c r="E360" s="59">
        <v>10</v>
      </c>
      <c r="F360" s="59" t="s">
        <v>59</v>
      </c>
      <c r="G360" s="59">
        <v>3</v>
      </c>
      <c r="H360" s="59">
        <v>3</v>
      </c>
      <c r="I360" s="59" t="s">
        <v>9</v>
      </c>
      <c r="J360" s="86">
        <v>0.68888888888888899</v>
      </c>
      <c r="K360" s="59">
        <v>20</v>
      </c>
      <c r="L360" s="59" t="s">
        <v>150</v>
      </c>
      <c r="M360" s="59">
        <v>0</v>
      </c>
      <c r="N360" s="59" t="s">
        <v>151</v>
      </c>
      <c r="O360" s="59"/>
    </row>
    <row r="361" spans="1:15" x14ac:dyDescent="0.25">
      <c r="A361" s="59">
        <v>1650</v>
      </c>
      <c r="B361" s="59" t="s">
        <v>127</v>
      </c>
      <c r="C361" s="59" t="s">
        <v>126</v>
      </c>
      <c r="D361" s="59" t="s">
        <v>43</v>
      </c>
      <c r="E361" s="59">
        <v>12</v>
      </c>
      <c r="F361" s="59" t="s">
        <v>72</v>
      </c>
      <c r="G361" s="59">
        <v>3</v>
      </c>
      <c r="H361" s="59">
        <v>4</v>
      </c>
      <c r="I361" s="59" t="s">
        <v>9</v>
      </c>
      <c r="J361" s="86">
        <v>0.68888888888888899</v>
      </c>
      <c r="K361" s="59">
        <v>21</v>
      </c>
      <c r="L361" s="59" t="s">
        <v>150</v>
      </c>
      <c r="M361" s="59">
        <v>0</v>
      </c>
      <c r="N361" s="59" t="s">
        <v>151</v>
      </c>
      <c r="O361" s="59"/>
    </row>
    <row r="362" spans="1:15" x14ac:dyDescent="0.25">
      <c r="A362" s="59">
        <v>1650</v>
      </c>
      <c r="B362" s="59" t="s">
        <v>66</v>
      </c>
      <c r="C362" s="59" t="s">
        <v>65</v>
      </c>
      <c r="D362" s="59" t="s">
        <v>49</v>
      </c>
      <c r="E362" s="59">
        <v>46</v>
      </c>
      <c r="F362" s="59" t="s">
        <v>44</v>
      </c>
      <c r="G362" s="59">
        <v>3</v>
      </c>
      <c r="H362" s="59">
        <v>5</v>
      </c>
      <c r="I362" s="59" t="s">
        <v>9</v>
      </c>
      <c r="J362" s="86">
        <v>0.68888888888888899</v>
      </c>
      <c r="K362" s="59">
        <v>21</v>
      </c>
      <c r="L362" s="59" t="s">
        <v>150</v>
      </c>
      <c r="M362" s="59">
        <v>55</v>
      </c>
      <c r="N362" s="59" t="s">
        <v>151</v>
      </c>
      <c r="O362" s="59"/>
    </row>
    <row r="363" spans="1:15" x14ac:dyDescent="0.25">
      <c r="A363" s="59">
        <v>1650</v>
      </c>
      <c r="B363" s="59" t="s">
        <v>107</v>
      </c>
      <c r="C363" s="59" t="s">
        <v>106</v>
      </c>
      <c r="D363" s="59" t="s">
        <v>49</v>
      </c>
      <c r="E363" s="59">
        <v>16</v>
      </c>
      <c r="F363" s="59" t="s">
        <v>54</v>
      </c>
      <c r="G363" s="59">
        <v>4</v>
      </c>
      <c r="H363" s="59">
        <v>1</v>
      </c>
      <c r="I363" s="59" t="s">
        <v>11</v>
      </c>
      <c r="J363" s="86">
        <v>0.69305555555555554</v>
      </c>
      <c r="K363" s="59">
        <v>22</v>
      </c>
      <c r="L363" s="59" t="s">
        <v>150</v>
      </c>
      <c r="M363" s="59">
        <v>50</v>
      </c>
      <c r="N363" s="59" t="s">
        <v>151</v>
      </c>
      <c r="O363" s="59"/>
    </row>
    <row r="364" spans="1:15" x14ac:dyDescent="0.25">
      <c r="A364" s="59">
        <v>1650</v>
      </c>
      <c r="B364" s="59" t="s">
        <v>132</v>
      </c>
      <c r="C364" s="59" t="s">
        <v>85</v>
      </c>
      <c r="D364" s="59" t="s">
        <v>43</v>
      </c>
      <c r="E364" s="59">
        <v>32</v>
      </c>
      <c r="F364" s="59" t="s">
        <v>64</v>
      </c>
      <c r="G364" s="59">
        <v>4</v>
      </c>
      <c r="H364" s="59">
        <v>2</v>
      </c>
      <c r="I364" s="59" t="s">
        <v>11</v>
      </c>
      <c r="J364" s="86">
        <v>0.69305555555555554</v>
      </c>
      <c r="K364" s="59">
        <v>24</v>
      </c>
      <c r="L364" s="59" t="s">
        <v>150</v>
      </c>
      <c r="M364" s="59">
        <v>0</v>
      </c>
      <c r="N364" s="59" t="s">
        <v>151</v>
      </c>
      <c r="O364" s="59"/>
    </row>
    <row r="365" spans="1:15" x14ac:dyDescent="0.25">
      <c r="A365" s="59">
        <v>1650</v>
      </c>
      <c r="B365" s="59" t="s">
        <v>88</v>
      </c>
      <c r="C365" s="59" t="s">
        <v>87</v>
      </c>
      <c r="D365" s="59" t="s">
        <v>43</v>
      </c>
      <c r="E365" s="59">
        <v>13</v>
      </c>
      <c r="F365" s="59" t="s">
        <v>72</v>
      </c>
      <c r="G365" s="59">
        <v>4</v>
      </c>
      <c r="H365" s="59">
        <v>3</v>
      </c>
      <c r="I365" s="59" t="s">
        <v>11</v>
      </c>
      <c r="J365" s="86">
        <v>0.69305555555555554</v>
      </c>
      <c r="K365" s="59">
        <v>26</v>
      </c>
      <c r="L365" s="59" t="s">
        <v>150</v>
      </c>
      <c r="M365" s="59">
        <v>0</v>
      </c>
      <c r="N365" s="59" t="s">
        <v>151</v>
      </c>
      <c r="O365" s="59"/>
    </row>
    <row r="366" spans="1:15" x14ac:dyDescent="0.25">
      <c r="A366" s="59">
        <v>1650</v>
      </c>
      <c r="B366" s="59" t="s">
        <v>107</v>
      </c>
      <c r="C366" s="59" t="s">
        <v>106</v>
      </c>
      <c r="D366" s="59" t="s">
        <v>49</v>
      </c>
      <c r="E366" s="59">
        <v>16</v>
      </c>
      <c r="F366" s="59" t="s">
        <v>54</v>
      </c>
      <c r="G366" s="59">
        <v>4</v>
      </c>
      <c r="H366" s="59">
        <v>1</v>
      </c>
      <c r="I366" s="59" t="s">
        <v>12</v>
      </c>
      <c r="J366" s="86">
        <v>0.69374999999999998</v>
      </c>
      <c r="K366" s="59">
        <v>22</v>
      </c>
      <c r="L366" s="59" t="s">
        <v>150</v>
      </c>
      <c r="M366" s="59">
        <v>50</v>
      </c>
      <c r="N366" s="59" t="s">
        <v>151</v>
      </c>
      <c r="O366" s="59"/>
    </row>
    <row r="367" spans="1:15" x14ac:dyDescent="0.25">
      <c r="A367" s="59">
        <v>1650</v>
      </c>
      <c r="B367" s="59" t="s">
        <v>132</v>
      </c>
      <c r="C367" s="59" t="s">
        <v>85</v>
      </c>
      <c r="D367" s="59" t="s">
        <v>43</v>
      </c>
      <c r="E367" s="59">
        <v>32</v>
      </c>
      <c r="F367" s="59" t="s">
        <v>64</v>
      </c>
      <c r="G367" s="59">
        <v>4</v>
      </c>
      <c r="H367" s="59">
        <v>2</v>
      </c>
      <c r="I367" s="59" t="s">
        <v>12</v>
      </c>
      <c r="J367" s="86">
        <v>0.69374999999999998</v>
      </c>
      <c r="K367" s="59">
        <v>24</v>
      </c>
      <c r="L367" s="59" t="s">
        <v>150</v>
      </c>
      <c r="M367" s="59">
        <v>0</v>
      </c>
      <c r="N367" s="59" t="s">
        <v>151</v>
      </c>
      <c r="O367" s="59"/>
    </row>
    <row r="368" spans="1:15" x14ac:dyDescent="0.25">
      <c r="A368" s="59">
        <v>1650</v>
      </c>
      <c r="B368" s="59" t="s">
        <v>88</v>
      </c>
      <c r="C368" s="59" t="s">
        <v>87</v>
      </c>
      <c r="D368" s="59" t="s">
        <v>43</v>
      </c>
      <c r="E368" s="59">
        <v>13</v>
      </c>
      <c r="F368" s="59" t="s">
        <v>72</v>
      </c>
      <c r="G368" s="59">
        <v>4</v>
      </c>
      <c r="H368" s="59">
        <v>3</v>
      </c>
      <c r="I368" s="59" t="s">
        <v>12</v>
      </c>
      <c r="J368" s="86">
        <v>0.69374999999999998</v>
      </c>
      <c r="K368" s="59">
        <v>26</v>
      </c>
      <c r="L368" s="59" t="s">
        <v>150</v>
      </c>
      <c r="M368" s="59">
        <v>0</v>
      </c>
      <c r="N368" s="59" t="s">
        <v>151</v>
      </c>
      <c r="O368" s="59"/>
    </row>
    <row r="369" spans="1:15" x14ac:dyDescent="0.25">
      <c r="A369" s="59">
        <v>1650</v>
      </c>
      <c r="B369" s="59" t="s">
        <v>107</v>
      </c>
      <c r="C369" s="59" t="s">
        <v>106</v>
      </c>
      <c r="D369" s="59" t="s">
        <v>49</v>
      </c>
      <c r="E369" s="59">
        <v>16</v>
      </c>
      <c r="F369" s="59" t="s">
        <v>54</v>
      </c>
      <c r="G369" s="59">
        <v>4</v>
      </c>
      <c r="H369" s="59">
        <v>1</v>
      </c>
      <c r="I369" s="59" t="s">
        <v>9</v>
      </c>
      <c r="J369" s="86">
        <v>0.69513888888888886</v>
      </c>
      <c r="K369" s="59">
        <v>22</v>
      </c>
      <c r="L369" s="59" t="s">
        <v>150</v>
      </c>
      <c r="M369" s="59">
        <v>50</v>
      </c>
      <c r="N369" s="59" t="s">
        <v>151</v>
      </c>
      <c r="O369" s="59"/>
    </row>
    <row r="370" spans="1:15" x14ac:dyDescent="0.25">
      <c r="A370" s="59">
        <v>1650</v>
      </c>
      <c r="B370" s="59" t="s">
        <v>132</v>
      </c>
      <c r="C370" s="59" t="s">
        <v>85</v>
      </c>
      <c r="D370" s="59" t="s">
        <v>43</v>
      </c>
      <c r="E370" s="59">
        <v>32</v>
      </c>
      <c r="F370" s="59" t="s">
        <v>64</v>
      </c>
      <c r="G370" s="59">
        <v>4</v>
      </c>
      <c r="H370" s="59">
        <v>2</v>
      </c>
      <c r="I370" s="59" t="s">
        <v>9</v>
      </c>
      <c r="J370" s="86">
        <v>0.69513888888888886</v>
      </c>
      <c r="K370" s="59">
        <v>24</v>
      </c>
      <c r="L370" s="59" t="s">
        <v>150</v>
      </c>
      <c r="M370" s="59">
        <v>0</v>
      </c>
      <c r="N370" s="59" t="s">
        <v>151</v>
      </c>
      <c r="O370" s="59"/>
    </row>
    <row r="371" spans="1:15" x14ac:dyDescent="0.25">
      <c r="A371" s="59">
        <v>1650</v>
      </c>
      <c r="B371" s="59" t="s">
        <v>88</v>
      </c>
      <c r="C371" s="59" t="s">
        <v>87</v>
      </c>
      <c r="D371" s="59" t="s">
        <v>43</v>
      </c>
      <c r="E371" s="59">
        <v>13</v>
      </c>
      <c r="F371" s="59" t="s">
        <v>72</v>
      </c>
      <c r="G371" s="59">
        <v>4</v>
      </c>
      <c r="H371" s="59">
        <v>3</v>
      </c>
      <c r="I371" s="59" t="s">
        <v>9</v>
      </c>
      <c r="J371" s="86">
        <v>0.69513888888888886</v>
      </c>
      <c r="K371" s="59">
        <v>26</v>
      </c>
      <c r="L371" s="59" t="s">
        <v>150</v>
      </c>
      <c r="M371" s="59">
        <v>0</v>
      </c>
      <c r="N371" s="59" t="s">
        <v>151</v>
      </c>
      <c r="O371" s="59"/>
    </row>
    <row r="372" spans="1:15" x14ac:dyDescent="0.25">
      <c r="A372" s="59"/>
      <c r="B372" s="59"/>
      <c r="F372" s="59"/>
      <c r="G372" s="59"/>
      <c r="H372" s="59"/>
      <c r="I372" s="59"/>
      <c r="J372" s="86"/>
      <c r="K372" s="59"/>
      <c r="L372" s="59"/>
      <c r="M372" s="59"/>
      <c r="N372" s="59"/>
      <c r="O372" s="59"/>
    </row>
    <row r="373" spans="1:15" x14ac:dyDescent="0.25">
      <c r="A373" s="59"/>
      <c r="B373" s="59"/>
      <c r="F373" s="59"/>
      <c r="G373" s="59"/>
      <c r="H373" s="59"/>
      <c r="I373" s="59"/>
      <c r="J373" s="86"/>
      <c r="K373" s="59"/>
      <c r="L373" s="59"/>
      <c r="M373" s="59"/>
      <c r="N373" s="59"/>
      <c r="O373" s="59"/>
    </row>
    <row r="374" spans="1:15" x14ac:dyDescent="0.25">
      <c r="A374" s="59"/>
      <c r="B374" s="59"/>
      <c r="F374" s="59"/>
      <c r="G374" s="59"/>
      <c r="H374" s="59"/>
      <c r="I374" s="59"/>
      <c r="J374" s="86"/>
      <c r="K374" s="59"/>
      <c r="L374" s="59"/>
      <c r="M374" s="59"/>
      <c r="N374" s="59"/>
      <c r="O374" s="59"/>
    </row>
    <row r="375" spans="1:15" x14ac:dyDescent="0.25">
      <c r="A375" s="59"/>
      <c r="B375" s="59"/>
      <c r="F375" s="59"/>
      <c r="G375" s="59"/>
      <c r="H375" s="59"/>
      <c r="I375" s="59"/>
      <c r="J375" s="86"/>
      <c r="K375" s="59"/>
      <c r="L375" s="59"/>
      <c r="M375" s="59"/>
      <c r="N375" s="59"/>
      <c r="O375" s="59"/>
    </row>
    <row r="376" spans="1:15" x14ac:dyDescent="0.25">
      <c r="A376" s="59"/>
      <c r="B376" s="59"/>
      <c r="F376" s="59"/>
      <c r="G376" s="59"/>
      <c r="H376" s="59"/>
      <c r="I376" s="59"/>
      <c r="J376" s="86"/>
      <c r="K376" s="59"/>
      <c r="L376" s="59"/>
      <c r="M376" s="59"/>
      <c r="N376" s="59"/>
      <c r="O376" s="59"/>
    </row>
    <row r="377" spans="1:15" x14ac:dyDescent="0.25">
      <c r="A377" s="59"/>
      <c r="B377" s="59"/>
      <c r="F377" s="59"/>
      <c r="G377" s="59"/>
      <c r="H377" s="59"/>
      <c r="I377" s="59"/>
      <c r="J377" s="86"/>
      <c r="K377" s="59"/>
      <c r="L377" s="59"/>
      <c r="M377" s="59"/>
      <c r="N377" s="59"/>
      <c r="O377" s="59"/>
    </row>
    <row r="378" spans="1:15" x14ac:dyDescent="0.25">
      <c r="A378" s="59"/>
      <c r="B378" s="59"/>
      <c r="F378" s="59"/>
      <c r="G378" s="59"/>
      <c r="H378" s="59"/>
      <c r="I378" s="59"/>
      <c r="J378" s="86"/>
      <c r="K378" s="59"/>
      <c r="L378" s="59"/>
      <c r="M378" s="59"/>
      <c r="N378" s="59"/>
      <c r="O378" s="59"/>
    </row>
    <row r="379" spans="1:15" x14ac:dyDescent="0.25">
      <c r="A379" s="59"/>
      <c r="B379" s="59"/>
      <c r="F379" s="59"/>
      <c r="G379" s="59"/>
      <c r="H379" s="59"/>
      <c r="I379" s="59"/>
      <c r="J379" s="86"/>
      <c r="K379" s="59"/>
      <c r="L379" s="59"/>
      <c r="M379" s="59"/>
      <c r="N379" s="59"/>
      <c r="O379" s="59"/>
    </row>
    <row r="380" spans="1:15" x14ac:dyDescent="0.25">
      <c r="A380" s="59"/>
      <c r="B380" s="59"/>
      <c r="F380" s="59"/>
      <c r="G380" s="59"/>
      <c r="H380" s="59"/>
      <c r="I380" s="59"/>
      <c r="J380" s="86"/>
      <c r="K380" s="59"/>
      <c r="L380" s="59"/>
      <c r="M380" s="59"/>
      <c r="N380" s="59"/>
      <c r="O380" s="59"/>
    </row>
    <row r="381" spans="1:15" x14ac:dyDescent="0.25">
      <c r="A381" s="59"/>
      <c r="B381" s="59"/>
      <c r="F381" s="59"/>
      <c r="G381" s="59"/>
      <c r="H381" s="59"/>
      <c r="I381" s="59"/>
      <c r="J381" s="86"/>
      <c r="K381" s="59"/>
      <c r="L381" s="59"/>
      <c r="M381" s="59"/>
      <c r="N381" s="59"/>
      <c r="O381" s="59"/>
    </row>
    <row r="382" spans="1:15" x14ac:dyDescent="0.25">
      <c r="A382" s="59"/>
      <c r="B382" s="59"/>
      <c r="F382" s="59"/>
      <c r="G382" s="59"/>
      <c r="H382" s="59"/>
      <c r="I382" s="59"/>
      <c r="J382" s="86"/>
      <c r="K382" s="59"/>
      <c r="L382" s="59"/>
      <c r="M382" s="59"/>
      <c r="N382" s="59"/>
      <c r="O382" s="59"/>
    </row>
    <row r="383" spans="1:15" x14ac:dyDescent="0.25">
      <c r="A383" s="59"/>
      <c r="B383" s="59"/>
      <c r="F383" s="59"/>
      <c r="G383" s="59"/>
      <c r="H383" s="59"/>
      <c r="I383" s="59"/>
      <c r="J383" s="86"/>
      <c r="K383" s="59"/>
      <c r="L383" s="59"/>
      <c r="M383" s="59"/>
      <c r="N383" s="59"/>
      <c r="O383" s="59"/>
    </row>
    <row r="384" spans="1:15" x14ac:dyDescent="0.25">
      <c r="A384" s="59"/>
      <c r="B384" s="59"/>
      <c r="F384" s="59"/>
      <c r="G384" s="59"/>
      <c r="H384" s="59"/>
      <c r="I384" s="59"/>
      <c r="J384" s="86"/>
      <c r="K384" s="59"/>
      <c r="L384" s="59"/>
      <c r="M384" s="59"/>
      <c r="N384" s="59"/>
      <c r="O384" s="59"/>
    </row>
    <row r="385" spans="1:15" x14ac:dyDescent="0.25">
      <c r="A385" s="59"/>
      <c r="B385" s="59"/>
      <c r="F385" s="59"/>
      <c r="G385" s="59"/>
      <c r="H385" s="59"/>
      <c r="I385" s="59"/>
      <c r="J385" s="86"/>
      <c r="K385" s="59"/>
      <c r="L385" s="59"/>
      <c r="M385" s="59"/>
      <c r="N385" s="59"/>
      <c r="O385" s="59"/>
    </row>
    <row r="386" spans="1:15" x14ac:dyDescent="0.25">
      <c r="A386" s="59"/>
      <c r="B386" s="59"/>
      <c r="F386" s="59"/>
      <c r="G386" s="59"/>
      <c r="H386" s="59"/>
      <c r="I386" s="59"/>
      <c r="J386" s="86"/>
      <c r="K386" s="59"/>
      <c r="L386" s="59"/>
      <c r="M386" s="59"/>
      <c r="N386" s="59"/>
      <c r="O386" s="59"/>
    </row>
    <row r="387" spans="1:15" x14ac:dyDescent="0.25">
      <c r="A387" s="59"/>
      <c r="B387" s="59"/>
      <c r="F387" s="59"/>
      <c r="G387" s="59"/>
      <c r="H387" s="59"/>
      <c r="I387" s="59"/>
      <c r="J387" s="86"/>
      <c r="K387" s="59"/>
      <c r="L387" s="59"/>
      <c r="M387" s="59"/>
      <c r="N387" s="59"/>
      <c r="O387" s="59"/>
    </row>
    <row r="388" spans="1:15" x14ac:dyDescent="0.25">
      <c r="A388" s="59"/>
      <c r="B388" s="59"/>
      <c r="F388" s="59"/>
      <c r="G388" s="59"/>
      <c r="H388" s="59"/>
      <c r="I388" s="59"/>
      <c r="J388" s="86"/>
      <c r="K388" s="59"/>
      <c r="L388" s="59"/>
      <c r="M388" s="59"/>
      <c r="N388" s="59"/>
      <c r="O388" s="59"/>
    </row>
    <row r="389" spans="1:15" x14ac:dyDescent="0.25">
      <c r="A389" s="59"/>
      <c r="B389" s="59"/>
      <c r="F389" s="59"/>
      <c r="G389" s="59"/>
      <c r="H389" s="59"/>
      <c r="I389" s="59"/>
      <c r="J389" s="86"/>
      <c r="K389" s="59"/>
      <c r="L389" s="59"/>
      <c r="M389" s="59"/>
      <c r="N389" s="59"/>
      <c r="O389" s="59"/>
    </row>
    <row r="390" spans="1:15" x14ac:dyDescent="0.25">
      <c r="A390" s="59"/>
      <c r="B390" s="59"/>
      <c r="F390" s="59"/>
      <c r="G390" s="59"/>
      <c r="H390" s="59"/>
      <c r="I390" s="59"/>
      <c r="J390" s="86"/>
      <c r="K390" s="59"/>
      <c r="L390" s="59"/>
      <c r="M390" s="59"/>
      <c r="N390" s="59"/>
      <c r="O390" s="59"/>
    </row>
    <row r="391" spans="1:15" x14ac:dyDescent="0.25">
      <c r="A391" s="59"/>
      <c r="B391" s="59"/>
      <c r="F391" s="59"/>
      <c r="G391" s="59"/>
      <c r="H391" s="59"/>
      <c r="I391" s="59"/>
      <c r="J391" s="86"/>
      <c r="K391" s="59"/>
      <c r="L391" s="59"/>
      <c r="M391" s="59"/>
      <c r="N391" s="59"/>
      <c r="O391" s="59"/>
    </row>
    <row r="392" spans="1:15" x14ac:dyDescent="0.25">
      <c r="A392" s="59"/>
      <c r="B392" s="59"/>
      <c r="F392" s="59"/>
      <c r="G392" s="59"/>
      <c r="H392" s="59"/>
      <c r="I392" s="59"/>
      <c r="J392" s="86"/>
      <c r="K392" s="59"/>
      <c r="L392" s="59"/>
      <c r="M392" s="59"/>
      <c r="N392" s="59"/>
      <c r="O392" s="59"/>
    </row>
    <row r="393" spans="1:15" x14ac:dyDescent="0.25">
      <c r="A393" s="59"/>
      <c r="B393" s="59"/>
      <c r="F393" s="59"/>
      <c r="G393" s="59"/>
      <c r="H393" s="59"/>
      <c r="I393" s="59"/>
      <c r="J393" s="86"/>
      <c r="K393" s="59"/>
      <c r="L393" s="59"/>
      <c r="M393" s="59"/>
      <c r="N393" s="59"/>
      <c r="O393" s="59"/>
    </row>
    <row r="394" spans="1:15" x14ac:dyDescent="0.25">
      <c r="A394" s="59"/>
      <c r="B394" s="59"/>
      <c r="F394" s="59"/>
      <c r="G394" s="59"/>
      <c r="H394" s="59"/>
      <c r="I394" s="59"/>
      <c r="J394" s="86"/>
      <c r="K394" s="59"/>
      <c r="L394" s="59"/>
      <c r="M394" s="59"/>
      <c r="N394" s="59"/>
      <c r="O394" s="59"/>
    </row>
    <row r="395" spans="1:15" x14ac:dyDescent="0.25">
      <c r="A395" s="59"/>
      <c r="B395" s="59"/>
      <c r="F395" s="59"/>
      <c r="G395" s="59"/>
      <c r="H395" s="59"/>
      <c r="I395" s="59"/>
      <c r="J395" s="86"/>
      <c r="K395" s="59"/>
      <c r="L395" s="59"/>
      <c r="M395" s="59"/>
      <c r="N395" s="59"/>
      <c r="O395" s="59"/>
    </row>
    <row r="396" spans="1:15" x14ac:dyDescent="0.25">
      <c r="A396" s="59"/>
      <c r="B396" s="59"/>
      <c r="F396" s="59"/>
      <c r="G396" s="59"/>
      <c r="H396" s="59"/>
      <c r="I396" s="59"/>
      <c r="J396" s="86"/>
      <c r="K396" s="59"/>
      <c r="L396" s="59"/>
      <c r="M396" s="59"/>
      <c r="N396" s="59"/>
      <c r="O396" s="59"/>
    </row>
    <row r="397" spans="1:15" x14ac:dyDescent="0.25">
      <c r="A397" s="59"/>
      <c r="B397" s="59"/>
      <c r="F397" s="59"/>
      <c r="G397" s="59"/>
      <c r="H397" s="59"/>
      <c r="I397" s="59"/>
      <c r="J397" s="86"/>
      <c r="K397" s="59"/>
      <c r="L397" s="59"/>
      <c r="M397" s="59"/>
      <c r="N397" s="59"/>
      <c r="O397" s="59"/>
    </row>
    <row r="398" spans="1:15" x14ac:dyDescent="0.25">
      <c r="A398" s="59"/>
      <c r="B398" s="59"/>
      <c r="F398" s="59"/>
      <c r="G398" s="59"/>
      <c r="H398" s="59"/>
      <c r="I398" s="59"/>
      <c r="J398" s="86"/>
      <c r="K398" s="59"/>
      <c r="L398" s="59"/>
      <c r="M398" s="59"/>
      <c r="N398" s="59"/>
      <c r="O398" s="59"/>
    </row>
    <row r="399" spans="1:15" x14ac:dyDescent="0.25">
      <c r="A399" s="59"/>
      <c r="B399" s="59"/>
      <c r="F399" s="59"/>
      <c r="G399" s="59"/>
      <c r="H399" s="59"/>
      <c r="I399" s="59"/>
      <c r="J399" s="86"/>
      <c r="K399" s="59"/>
      <c r="L399" s="59"/>
      <c r="M399" s="59"/>
      <c r="N399" s="59"/>
      <c r="O399" s="59"/>
    </row>
    <row r="400" spans="1:15" x14ac:dyDescent="0.25">
      <c r="A400" s="59"/>
      <c r="B400" s="59"/>
      <c r="F400" s="59"/>
      <c r="G400" s="59"/>
      <c r="H400" s="59"/>
      <c r="I400" s="59"/>
      <c r="J400" s="86"/>
      <c r="K400" s="59"/>
      <c r="L400" s="59"/>
      <c r="M400" s="59"/>
      <c r="N400" s="59"/>
      <c r="O400" s="59"/>
    </row>
    <row r="401" spans="1:15" x14ac:dyDescent="0.25">
      <c r="A401" s="59"/>
      <c r="B401" s="59"/>
      <c r="F401" s="59"/>
      <c r="G401" s="59"/>
      <c r="H401" s="59"/>
      <c r="I401" s="59"/>
      <c r="J401" s="86"/>
      <c r="K401" s="59"/>
      <c r="L401" s="59"/>
      <c r="M401" s="59"/>
      <c r="N401" s="59"/>
      <c r="O401" s="59"/>
    </row>
    <row r="402" spans="1:15" x14ac:dyDescent="0.25">
      <c r="A402" s="59"/>
      <c r="B402" s="59"/>
      <c r="F402" s="59"/>
      <c r="G402" s="59"/>
      <c r="H402" s="59"/>
      <c r="I402" s="59"/>
      <c r="J402" s="86"/>
      <c r="K402" s="59"/>
      <c r="L402" s="59"/>
      <c r="M402" s="59"/>
      <c r="N402" s="59"/>
      <c r="O402" s="59"/>
    </row>
    <row r="403" spans="1:15" x14ac:dyDescent="0.25">
      <c r="A403" s="59"/>
      <c r="B403" s="59"/>
      <c r="F403" s="59"/>
      <c r="G403" s="59"/>
      <c r="H403" s="59"/>
      <c r="I403" s="59"/>
      <c r="J403" s="86"/>
      <c r="K403" s="59"/>
      <c r="L403" s="59"/>
      <c r="M403" s="59"/>
      <c r="N403" s="59"/>
      <c r="O403" s="59"/>
    </row>
    <row r="404" spans="1:15" x14ac:dyDescent="0.25">
      <c r="A404" s="59"/>
      <c r="B404" s="59"/>
      <c r="F404" s="59"/>
      <c r="G404" s="59"/>
      <c r="H404" s="59"/>
      <c r="I404" s="59"/>
      <c r="J404" s="86"/>
      <c r="K404" s="59"/>
      <c r="L404" s="59"/>
      <c r="M404" s="59"/>
      <c r="N404" s="59"/>
      <c r="O404" s="59"/>
    </row>
    <row r="405" spans="1:15" x14ac:dyDescent="0.25">
      <c r="A405" s="59"/>
      <c r="B405" s="59"/>
      <c r="F405" s="59"/>
      <c r="G405" s="59"/>
      <c r="H405" s="59"/>
      <c r="I405" s="59"/>
      <c r="J405" s="86"/>
      <c r="K405" s="59"/>
      <c r="L405" s="59"/>
      <c r="M405" s="59"/>
      <c r="N405" s="59"/>
      <c r="O405" s="59"/>
    </row>
    <row r="406" spans="1:15" x14ac:dyDescent="0.25">
      <c r="A406" s="59"/>
      <c r="B406" s="59"/>
      <c r="F406" s="59"/>
      <c r="G406" s="59"/>
      <c r="H406" s="59"/>
      <c r="I406" s="59"/>
      <c r="J406" s="86"/>
      <c r="K406" s="59"/>
      <c r="L406" s="59"/>
      <c r="M406" s="59"/>
      <c r="N406" s="59"/>
      <c r="O406" s="59"/>
    </row>
    <row r="407" spans="1:15" x14ac:dyDescent="0.25">
      <c r="A407" s="59"/>
      <c r="B407" s="59"/>
      <c r="F407" s="59"/>
      <c r="G407" s="59"/>
      <c r="H407" s="59"/>
      <c r="I407" s="59"/>
      <c r="J407" s="86"/>
      <c r="K407" s="59"/>
      <c r="L407" s="59"/>
      <c r="M407" s="59"/>
      <c r="N407" s="59"/>
      <c r="O407" s="59"/>
    </row>
    <row r="408" spans="1:15" x14ac:dyDescent="0.25">
      <c r="A408" s="59"/>
      <c r="B408" s="59"/>
      <c r="F408" s="59"/>
      <c r="G408" s="59"/>
      <c r="H408" s="59"/>
      <c r="I408" s="59"/>
      <c r="J408" s="86"/>
      <c r="K408" s="59"/>
      <c r="L408" s="59"/>
      <c r="M408" s="59"/>
      <c r="N408" s="59"/>
      <c r="O408" s="59"/>
    </row>
    <row r="409" spans="1:15" x14ac:dyDescent="0.25">
      <c r="A409" s="59"/>
      <c r="B409" s="59"/>
      <c r="F409" s="59"/>
      <c r="G409" s="59"/>
      <c r="H409" s="59"/>
      <c r="I409" s="59"/>
      <c r="J409" s="86"/>
      <c r="K409" s="59"/>
      <c r="L409" s="59"/>
      <c r="M409" s="59"/>
      <c r="N409" s="59"/>
      <c r="O409" s="59"/>
    </row>
    <row r="410" spans="1:15" x14ac:dyDescent="0.25">
      <c r="A410" s="59"/>
      <c r="B410" s="59"/>
      <c r="F410" s="59"/>
      <c r="G410" s="59"/>
      <c r="H410" s="59"/>
      <c r="I410" s="59"/>
      <c r="J410" s="86"/>
      <c r="K410" s="59"/>
      <c r="L410" s="59"/>
      <c r="M410" s="59"/>
      <c r="N410" s="59"/>
      <c r="O410" s="59"/>
    </row>
    <row r="411" spans="1:15" x14ac:dyDescent="0.25">
      <c r="A411" s="59"/>
      <c r="B411" s="59"/>
      <c r="F411" s="59"/>
      <c r="G411" s="59"/>
      <c r="H411" s="59"/>
      <c r="I411" s="59"/>
      <c r="J411" s="86"/>
      <c r="K411" s="59"/>
      <c r="L411" s="59"/>
      <c r="M411" s="59"/>
      <c r="N411" s="59"/>
      <c r="O411" s="59"/>
    </row>
    <row r="412" spans="1:15" x14ac:dyDescent="0.25">
      <c r="A412" s="59"/>
      <c r="B412" s="59"/>
      <c r="F412" s="59"/>
      <c r="G412" s="59"/>
      <c r="H412" s="59"/>
      <c r="I412" s="59"/>
      <c r="J412" s="86"/>
      <c r="K412" s="59"/>
      <c r="L412" s="59"/>
      <c r="M412" s="59"/>
      <c r="N412" s="59"/>
      <c r="O412" s="59"/>
    </row>
    <row r="413" spans="1:15" x14ac:dyDescent="0.25">
      <c r="A413" s="59"/>
      <c r="B413" s="59"/>
      <c r="F413" s="59"/>
      <c r="G413" s="59"/>
      <c r="H413" s="59"/>
      <c r="I413" s="59"/>
      <c r="J413" s="86"/>
      <c r="K413" s="59"/>
      <c r="L413" s="59"/>
      <c r="M413" s="59"/>
      <c r="N413" s="59"/>
      <c r="O413" s="59"/>
    </row>
    <row r="414" spans="1:15" x14ac:dyDescent="0.25">
      <c r="A414" s="59"/>
      <c r="B414" s="59"/>
      <c r="F414" s="59"/>
      <c r="G414" s="59"/>
      <c r="H414" s="59"/>
      <c r="I414" s="59"/>
      <c r="J414" s="86"/>
      <c r="K414" s="59"/>
      <c r="L414" s="59"/>
      <c r="M414" s="59"/>
      <c r="N414" s="59"/>
      <c r="O414" s="59"/>
    </row>
    <row r="415" spans="1:15" x14ac:dyDescent="0.25">
      <c r="A415" s="59"/>
      <c r="B415" s="59"/>
      <c r="F415" s="59"/>
      <c r="G415" s="59"/>
      <c r="H415" s="59"/>
      <c r="I415" s="59"/>
      <c r="J415" s="86"/>
      <c r="K415" s="59"/>
      <c r="L415" s="59"/>
      <c r="M415" s="59"/>
      <c r="N415" s="59"/>
      <c r="O415" s="59"/>
    </row>
    <row r="416" spans="1:15" x14ac:dyDescent="0.25">
      <c r="A416" s="59"/>
      <c r="B416" s="59"/>
      <c r="F416" s="59"/>
      <c r="G416" s="59"/>
      <c r="H416" s="59"/>
      <c r="I416" s="59"/>
      <c r="J416" s="86"/>
      <c r="K416" s="59"/>
      <c r="L416" s="59"/>
      <c r="M416" s="59"/>
      <c r="N416" s="59"/>
      <c r="O416" s="59"/>
    </row>
    <row r="417" spans="1:15" x14ac:dyDescent="0.25">
      <c r="A417" s="59"/>
      <c r="B417" s="59"/>
      <c r="F417" s="59"/>
      <c r="G417" s="59"/>
      <c r="H417" s="59"/>
      <c r="I417" s="59"/>
      <c r="J417" s="86"/>
      <c r="K417" s="59"/>
      <c r="L417" s="59"/>
      <c r="M417" s="59"/>
      <c r="N417" s="59"/>
      <c r="O417" s="59"/>
    </row>
    <row r="418" spans="1:15" x14ac:dyDescent="0.25">
      <c r="A418" s="59"/>
      <c r="B418" s="59"/>
      <c r="F418" s="59"/>
      <c r="G418" s="59"/>
      <c r="H418" s="59"/>
      <c r="I418" s="59"/>
      <c r="J418" s="86"/>
      <c r="K418" s="59"/>
      <c r="L418" s="59"/>
      <c r="M418" s="59"/>
      <c r="N418" s="59"/>
      <c r="O418" s="59"/>
    </row>
    <row r="419" spans="1:15" x14ac:dyDescent="0.25">
      <c r="A419" s="59"/>
      <c r="B419" s="59"/>
      <c r="F419" s="59"/>
      <c r="G419" s="59"/>
      <c r="H419" s="59"/>
      <c r="I419" s="59"/>
      <c r="J419" s="86"/>
      <c r="K419" s="59"/>
      <c r="L419" s="59"/>
      <c r="M419" s="59"/>
      <c r="N419" s="59"/>
      <c r="O419" s="59"/>
    </row>
    <row r="420" spans="1:15" x14ac:dyDescent="0.25">
      <c r="A420" s="59"/>
      <c r="B420" s="59"/>
      <c r="F420" s="59"/>
      <c r="G420" s="59"/>
      <c r="H420" s="59"/>
      <c r="I420" s="59"/>
      <c r="J420" s="86"/>
      <c r="K420" s="59"/>
      <c r="L420" s="59"/>
      <c r="M420" s="59"/>
      <c r="N420" s="59"/>
      <c r="O420" s="59"/>
    </row>
    <row r="421" spans="1:15" x14ac:dyDescent="0.25">
      <c r="A421" s="59"/>
      <c r="B421" s="59"/>
      <c r="F421" s="59"/>
      <c r="G421" s="59"/>
      <c r="H421" s="59"/>
      <c r="I421" s="59"/>
      <c r="J421" s="86"/>
      <c r="K421" s="59"/>
      <c r="L421" s="59"/>
      <c r="M421" s="59"/>
      <c r="N421" s="59"/>
      <c r="O421" s="59"/>
    </row>
    <row r="422" spans="1:15" x14ac:dyDescent="0.25">
      <c r="A422" s="59"/>
      <c r="B422" s="59"/>
      <c r="F422" s="59"/>
      <c r="G422" s="59"/>
      <c r="H422" s="59"/>
      <c r="I422" s="59"/>
      <c r="J422" s="86"/>
      <c r="K422" s="59"/>
      <c r="L422" s="59"/>
      <c r="M422" s="59"/>
      <c r="N422" s="59"/>
      <c r="O422" s="59"/>
    </row>
    <row r="423" spans="1:15" x14ac:dyDescent="0.25">
      <c r="A423" s="59"/>
      <c r="B423" s="59"/>
      <c r="F423" s="59"/>
      <c r="G423" s="59"/>
      <c r="H423" s="59"/>
      <c r="I423" s="59"/>
      <c r="J423" s="86"/>
      <c r="K423" s="59"/>
      <c r="L423" s="59"/>
      <c r="M423" s="59"/>
      <c r="N423" s="59"/>
      <c r="O423" s="59"/>
    </row>
    <row r="424" spans="1:15" x14ac:dyDescent="0.25">
      <c r="A424" s="59"/>
      <c r="B424" s="59"/>
      <c r="F424" s="59"/>
      <c r="G424" s="59"/>
      <c r="H424" s="59"/>
      <c r="I424" s="59"/>
      <c r="J424" s="86"/>
      <c r="K424" s="59"/>
      <c r="L424" s="59"/>
      <c r="M424" s="59"/>
      <c r="N424" s="59"/>
      <c r="O424" s="59"/>
    </row>
    <row r="425" spans="1:15" x14ac:dyDescent="0.25">
      <c r="A425" s="59"/>
      <c r="B425" s="59"/>
      <c r="F425" s="59"/>
      <c r="G425" s="59"/>
      <c r="H425" s="59"/>
      <c r="I425" s="59"/>
      <c r="J425" s="86"/>
      <c r="K425" s="59"/>
      <c r="L425" s="59"/>
      <c r="M425" s="59"/>
      <c r="N425" s="59"/>
      <c r="O425" s="59"/>
    </row>
    <row r="426" spans="1:15" x14ac:dyDescent="0.25">
      <c r="A426" s="59"/>
      <c r="B426" s="59"/>
      <c r="F426" s="59"/>
      <c r="G426" s="59"/>
      <c r="H426" s="59"/>
      <c r="I426" s="59"/>
      <c r="J426" s="86"/>
      <c r="K426" s="59"/>
      <c r="L426" s="59"/>
      <c r="M426" s="59"/>
      <c r="N426" s="59"/>
      <c r="O426" s="59"/>
    </row>
    <row r="427" spans="1:15" x14ac:dyDescent="0.25">
      <c r="A427" s="59"/>
      <c r="B427" s="59"/>
      <c r="F427" s="59"/>
      <c r="G427" s="59"/>
      <c r="H427" s="59"/>
      <c r="I427" s="59"/>
      <c r="J427" s="86"/>
      <c r="K427" s="59"/>
      <c r="L427" s="59"/>
      <c r="M427" s="59"/>
      <c r="N427" s="59"/>
      <c r="O427" s="59"/>
    </row>
    <row r="428" spans="1:15" x14ac:dyDescent="0.25">
      <c r="A428" s="59"/>
      <c r="B428" s="59"/>
      <c r="F428" s="59"/>
      <c r="G428" s="59"/>
      <c r="H428" s="59"/>
      <c r="I428" s="59"/>
      <c r="J428" s="86"/>
      <c r="K428" s="59"/>
      <c r="L428" s="59"/>
      <c r="M428" s="59"/>
      <c r="N428" s="59"/>
      <c r="O428" s="59"/>
    </row>
    <row r="429" spans="1:15" x14ac:dyDescent="0.25">
      <c r="A429" s="59"/>
      <c r="B429" s="59"/>
      <c r="F429" s="59"/>
      <c r="G429" s="59"/>
      <c r="H429" s="59"/>
      <c r="I429" s="59"/>
      <c r="J429" s="86"/>
      <c r="K429" s="59"/>
      <c r="L429" s="59"/>
      <c r="M429" s="59"/>
      <c r="N429" s="59"/>
      <c r="O429" s="59"/>
    </row>
    <row r="430" spans="1:15" x14ac:dyDescent="0.25">
      <c r="A430" s="59"/>
      <c r="B430" s="59"/>
      <c r="F430" s="59"/>
      <c r="G430" s="59"/>
      <c r="H430" s="59"/>
      <c r="I430" s="59"/>
      <c r="J430" s="86"/>
      <c r="K430" s="59"/>
      <c r="L430" s="59"/>
      <c r="M430" s="59"/>
      <c r="N430" s="59"/>
      <c r="O430" s="59"/>
    </row>
    <row r="431" spans="1:15" x14ac:dyDescent="0.25">
      <c r="A431" s="59"/>
      <c r="B431" s="59"/>
      <c r="F431" s="59"/>
      <c r="G431" s="59"/>
      <c r="H431" s="59"/>
      <c r="I431" s="59"/>
      <c r="J431" s="86"/>
      <c r="K431" s="59"/>
      <c r="L431" s="59"/>
      <c r="M431" s="59"/>
      <c r="N431" s="59"/>
      <c r="O431" s="59"/>
    </row>
    <row r="432" spans="1:15" x14ac:dyDescent="0.25">
      <c r="A432" s="59"/>
      <c r="B432" s="59"/>
      <c r="F432" s="59"/>
      <c r="G432" s="59"/>
      <c r="H432" s="59"/>
      <c r="I432" s="59"/>
      <c r="J432" s="86"/>
      <c r="K432" s="59"/>
      <c r="L432" s="59"/>
      <c r="M432" s="59"/>
      <c r="N432" s="59"/>
      <c r="O432" s="59"/>
    </row>
    <row r="433" spans="1:15" x14ac:dyDescent="0.25">
      <c r="A433" s="59"/>
      <c r="B433" s="59"/>
      <c r="F433" s="59"/>
      <c r="G433" s="59"/>
      <c r="H433" s="59"/>
      <c r="I433" s="59"/>
      <c r="J433" s="86"/>
      <c r="K433" s="59"/>
      <c r="L433" s="59"/>
      <c r="M433" s="59"/>
      <c r="N433" s="59"/>
      <c r="O433" s="59"/>
    </row>
    <row r="434" spans="1:15" x14ac:dyDescent="0.25">
      <c r="A434" s="59"/>
      <c r="B434" s="59"/>
      <c r="F434" s="59"/>
      <c r="G434" s="59"/>
      <c r="H434" s="59"/>
      <c r="I434" s="59"/>
      <c r="J434" s="86"/>
      <c r="K434" s="59"/>
      <c r="L434" s="59"/>
      <c r="M434" s="59"/>
      <c r="N434" s="59"/>
      <c r="O434" s="59"/>
    </row>
    <row r="435" spans="1:15" x14ac:dyDescent="0.25">
      <c r="A435" s="59"/>
      <c r="B435" s="59"/>
      <c r="F435" s="59"/>
      <c r="G435" s="59"/>
      <c r="H435" s="59"/>
      <c r="I435" s="59"/>
      <c r="J435" s="86"/>
      <c r="K435" s="59"/>
      <c r="L435" s="59"/>
      <c r="M435" s="59"/>
      <c r="N435" s="59"/>
      <c r="O435" s="59"/>
    </row>
    <row r="436" spans="1:15" x14ac:dyDescent="0.25">
      <c r="A436" s="59"/>
      <c r="B436" s="59"/>
      <c r="F436" s="59"/>
      <c r="G436" s="59"/>
      <c r="H436" s="59"/>
      <c r="I436" s="59"/>
      <c r="J436" s="86"/>
      <c r="K436" s="59"/>
      <c r="L436" s="59"/>
      <c r="M436" s="59"/>
      <c r="N436" s="59"/>
      <c r="O436" s="59"/>
    </row>
    <row r="437" spans="1:15" x14ac:dyDescent="0.25">
      <c r="A437" s="59"/>
      <c r="B437" s="59"/>
      <c r="F437" s="59"/>
      <c r="G437" s="59"/>
      <c r="H437" s="59"/>
      <c r="I437" s="59"/>
      <c r="J437" s="86"/>
      <c r="K437" s="59"/>
      <c r="L437" s="59"/>
      <c r="M437" s="59"/>
      <c r="N437" s="59"/>
      <c r="O437" s="59"/>
    </row>
    <row r="438" spans="1:15" x14ac:dyDescent="0.25">
      <c r="A438" s="59"/>
      <c r="B438" s="59"/>
      <c r="F438" s="59"/>
      <c r="G438" s="59"/>
      <c r="H438" s="59"/>
      <c r="I438" s="59"/>
      <c r="J438" s="86"/>
      <c r="K438" s="59"/>
      <c r="L438" s="59"/>
      <c r="M438" s="59"/>
      <c r="N438" s="59"/>
      <c r="O438" s="59"/>
    </row>
    <row r="439" spans="1:15" x14ac:dyDescent="0.25">
      <c r="A439" s="59"/>
      <c r="B439" s="59"/>
      <c r="F439" s="59"/>
      <c r="G439" s="59"/>
      <c r="H439" s="59"/>
      <c r="I439" s="59"/>
      <c r="J439" s="86"/>
      <c r="K439" s="59"/>
      <c r="L439" s="59"/>
      <c r="M439" s="59"/>
      <c r="N439" s="59"/>
      <c r="O439" s="59"/>
    </row>
    <row r="440" spans="1:15" x14ac:dyDescent="0.25">
      <c r="A440" s="59"/>
      <c r="B440" s="59"/>
      <c r="F440" s="59"/>
      <c r="G440" s="59"/>
      <c r="H440" s="59"/>
      <c r="I440" s="59"/>
      <c r="J440" s="86"/>
      <c r="K440" s="59"/>
      <c r="L440" s="59"/>
      <c r="M440" s="59"/>
      <c r="N440" s="59"/>
      <c r="O440" s="59"/>
    </row>
    <row r="441" spans="1:15" x14ac:dyDescent="0.25">
      <c r="A441" s="59"/>
      <c r="B441" s="59"/>
      <c r="F441" s="59"/>
      <c r="G441" s="59"/>
      <c r="H441" s="59"/>
      <c r="I441" s="59"/>
      <c r="J441" s="86"/>
      <c r="K441" s="59"/>
      <c r="L441" s="59"/>
      <c r="M441" s="59"/>
      <c r="N441" s="59"/>
      <c r="O441" s="59"/>
    </row>
    <row r="442" spans="1:15" x14ac:dyDescent="0.25">
      <c r="A442" s="59"/>
      <c r="B442" s="59"/>
      <c r="F442" s="59"/>
      <c r="G442" s="59"/>
      <c r="H442" s="59"/>
      <c r="I442" s="59"/>
      <c r="J442" s="86"/>
      <c r="K442" s="59"/>
      <c r="L442" s="59"/>
      <c r="M442" s="59"/>
      <c r="N442" s="59"/>
      <c r="O442" s="59"/>
    </row>
    <row r="443" spans="1:15" x14ac:dyDescent="0.25">
      <c r="A443" s="59"/>
      <c r="B443" s="59"/>
      <c r="F443" s="59"/>
      <c r="G443" s="59"/>
      <c r="H443" s="59"/>
      <c r="I443" s="59"/>
      <c r="J443" s="86"/>
      <c r="K443" s="59"/>
      <c r="L443" s="59"/>
      <c r="M443" s="59"/>
      <c r="N443" s="59"/>
      <c r="O443" s="59"/>
    </row>
    <row r="444" spans="1:15" x14ac:dyDescent="0.25">
      <c r="A444" s="59"/>
      <c r="B444" s="59"/>
      <c r="F444" s="59"/>
      <c r="G444" s="59"/>
      <c r="H444" s="59"/>
      <c r="I444" s="59"/>
      <c r="J444" s="86"/>
      <c r="K444" s="59"/>
      <c r="L444" s="59"/>
      <c r="M444" s="59"/>
      <c r="N444" s="59"/>
      <c r="O444" s="59"/>
    </row>
    <row r="445" spans="1:15" x14ac:dyDescent="0.25">
      <c r="A445" s="59"/>
      <c r="B445" s="59"/>
      <c r="F445" s="59"/>
      <c r="G445" s="59"/>
      <c r="H445" s="59"/>
      <c r="I445" s="59"/>
      <c r="J445" s="86"/>
      <c r="K445" s="59"/>
      <c r="L445" s="59"/>
      <c r="M445" s="59"/>
      <c r="N445" s="59"/>
      <c r="O445" s="59"/>
    </row>
    <row r="446" spans="1:15" x14ac:dyDescent="0.25">
      <c r="A446" s="59"/>
      <c r="B446" s="59"/>
      <c r="F446" s="59"/>
      <c r="G446" s="59"/>
      <c r="H446" s="59"/>
      <c r="I446" s="59"/>
      <c r="J446" s="86"/>
      <c r="K446" s="59"/>
      <c r="L446" s="59"/>
      <c r="M446" s="59"/>
      <c r="N446" s="59"/>
      <c r="O446" s="59"/>
    </row>
    <row r="447" spans="1:15" x14ac:dyDescent="0.25">
      <c r="A447" s="59"/>
      <c r="B447" s="59"/>
      <c r="F447" s="59"/>
      <c r="G447" s="59"/>
      <c r="H447" s="59"/>
      <c r="I447" s="59"/>
      <c r="J447" s="86"/>
      <c r="K447" s="59"/>
      <c r="L447" s="59"/>
      <c r="M447" s="59"/>
      <c r="N447" s="59"/>
      <c r="O447" s="59"/>
    </row>
    <row r="448" spans="1:15" x14ac:dyDescent="0.25">
      <c r="A448" s="59"/>
      <c r="B448" s="59"/>
      <c r="F448" s="59"/>
      <c r="G448" s="59"/>
      <c r="H448" s="59"/>
      <c r="I448" s="59"/>
      <c r="J448" s="86"/>
      <c r="K448" s="59"/>
      <c r="L448" s="59"/>
      <c r="M448" s="59"/>
      <c r="N448" s="59"/>
      <c r="O448" s="59"/>
    </row>
    <row r="449" spans="1:15" x14ac:dyDescent="0.25">
      <c r="A449" s="59"/>
      <c r="B449" s="59"/>
      <c r="F449" s="59"/>
      <c r="G449" s="59"/>
      <c r="H449" s="59"/>
      <c r="I449" s="59"/>
      <c r="J449" s="86"/>
      <c r="K449" s="59"/>
      <c r="L449" s="59"/>
      <c r="M449" s="59"/>
      <c r="N449" s="59"/>
      <c r="O449" s="59"/>
    </row>
    <row r="450" spans="1:15" x14ac:dyDescent="0.25">
      <c r="A450" s="59"/>
      <c r="B450" s="59"/>
      <c r="F450" s="59"/>
      <c r="G450" s="59"/>
      <c r="H450" s="59"/>
      <c r="I450" s="59"/>
      <c r="J450" s="86"/>
      <c r="K450" s="59"/>
      <c r="L450" s="59"/>
      <c r="M450" s="59"/>
      <c r="N450" s="59"/>
      <c r="O450" s="59"/>
    </row>
    <row r="451" spans="1:15" x14ac:dyDescent="0.25">
      <c r="A451" s="59"/>
      <c r="B451" s="59"/>
      <c r="F451" s="59"/>
      <c r="G451" s="59"/>
      <c r="H451" s="59"/>
      <c r="I451" s="59"/>
      <c r="J451" s="86"/>
      <c r="K451" s="59"/>
      <c r="L451" s="59"/>
      <c r="M451" s="59"/>
      <c r="N451" s="59"/>
      <c r="O451" s="59"/>
    </row>
    <row r="452" spans="1:15" x14ac:dyDescent="0.25">
      <c r="A452" s="59"/>
      <c r="B452" s="59"/>
      <c r="F452" s="59"/>
      <c r="G452" s="59"/>
      <c r="H452" s="59"/>
      <c r="I452" s="59"/>
      <c r="J452" s="86"/>
      <c r="K452" s="59"/>
      <c r="L452" s="59"/>
      <c r="M452" s="59"/>
      <c r="N452" s="59"/>
      <c r="O452" s="59"/>
    </row>
    <row r="453" spans="1:15" x14ac:dyDescent="0.25">
      <c r="A453" s="59"/>
      <c r="B453" s="59"/>
      <c r="F453" s="59"/>
      <c r="G453" s="59"/>
      <c r="H453" s="59"/>
      <c r="I453" s="59"/>
      <c r="J453" s="86"/>
      <c r="K453" s="59"/>
      <c r="L453" s="59"/>
      <c r="M453" s="59"/>
      <c r="N453" s="59"/>
      <c r="O453" s="59"/>
    </row>
    <row r="454" spans="1:15" x14ac:dyDescent="0.25">
      <c r="A454" s="59"/>
      <c r="B454" s="59"/>
      <c r="F454" s="59"/>
      <c r="G454" s="59"/>
      <c r="H454" s="59"/>
      <c r="I454" s="59"/>
      <c r="J454" s="86"/>
      <c r="K454" s="59"/>
      <c r="L454" s="59"/>
      <c r="M454" s="59"/>
      <c r="N454" s="59"/>
      <c r="O454" s="59"/>
    </row>
    <row r="455" spans="1:15" x14ac:dyDescent="0.25">
      <c r="A455" s="59"/>
      <c r="B455" s="59"/>
      <c r="F455" s="59"/>
      <c r="G455" s="59"/>
      <c r="H455" s="59"/>
      <c r="I455" s="59"/>
      <c r="J455" s="86"/>
      <c r="K455" s="59"/>
      <c r="L455" s="59"/>
      <c r="M455" s="59"/>
      <c r="N455" s="59"/>
      <c r="O455" s="59"/>
    </row>
    <row r="456" spans="1:15" x14ac:dyDescent="0.25">
      <c r="A456" s="59"/>
      <c r="B456" s="59"/>
      <c r="F456" s="59"/>
      <c r="G456" s="59"/>
      <c r="H456" s="59"/>
      <c r="I456" s="59"/>
      <c r="J456" s="86"/>
      <c r="K456" s="59"/>
      <c r="L456" s="59"/>
      <c r="M456" s="59"/>
      <c r="N456" s="59"/>
      <c r="O456" s="59"/>
    </row>
    <row r="457" spans="1:15" x14ac:dyDescent="0.25">
      <c r="A457" s="59"/>
      <c r="B457" s="59"/>
      <c r="F457" s="59"/>
      <c r="G457" s="59"/>
      <c r="H457" s="59"/>
      <c r="I457" s="59"/>
      <c r="J457" s="86"/>
      <c r="K457" s="59"/>
      <c r="L457" s="59"/>
      <c r="M457" s="59"/>
      <c r="N457" s="59"/>
      <c r="O457" s="59"/>
    </row>
    <row r="458" spans="1:15" x14ac:dyDescent="0.25">
      <c r="A458" s="59"/>
      <c r="B458" s="59"/>
      <c r="F458" s="59"/>
      <c r="G458" s="59"/>
      <c r="H458" s="59"/>
      <c r="I458" s="59"/>
      <c r="J458" s="86"/>
      <c r="K458" s="59"/>
      <c r="L458" s="59"/>
      <c r="M458" s="59"/>
      <c r="N458" s="59"/>
      <c r="O458" s="59"/>
    </row>
    <row r="459" spans="1:15" x14ac:dyDescent="0.25">
      <c r="A459" s="59"/>
      <c r="B459" s="59"/>
      <c r="F459" s="59"/>
      <c r="G459" s="59"/>
      <c r="H459" s="59"/>
      <c r="I459" s="59"/>
      <c r="J459" s="86"/>
      <c r="K459" s="59"/>
      <c r="L459" s="59"/>
      <c r="M459" s="59"/>
      <c r="N459" s="59"/>
      <c r="O459" s="59"/>
    </row>
    <row r="460" spans="1:15" x14ac:dyDescent="0.25">
      <c r="A460" s="59"/>
      <c r="B460" s="59"/>
      <c r="F460" s="59"/>
      <c r="G460" s="59"/>
      <c r="H460" s="59"/>
      <c r="I460" s="59"/>
      <c r="J460" s="86"/>
      <c r="K460" s="59"/>
      <c r="L460" s="59"/>
      <c r="M460" s="59"/>
      <c r="N460" s="59"/>
      <c r="O460" s="59"/>
    </row>
    <row r="461" spans="1:15" x14ac:dyDescent="0.25">
      <c r="A461" s="59"/>
      <c r="B461" s="59"/>
      <c r="F461" s="59"/>
      <c r="G461" s="59"/>
      <c r="H461" s="59"/>
      <c r="I461" s="59"/>
      <c r="J461" s="86"/>
      <c r="K461" s="59"/>
      <c r="L461" s="59"/>
      <c r="M461" s="59"/>
      <c r="N461" s="59"/>
      <c r="O461" s="59"/>
    </row>
    <row r="462" spans="1:15" x14ac:dyDescent="0.25">
      <c r="A462" s="59"/>
      <c r="B462" s="59"/>
      <c r="F462" s="59"/>
      <c r="G462" s="59"/>
      <c r="H462" s="59"/>
      <c r="I462" s="59"/>
      <c r="J462" s="86"/>
      <c r="K462" s="59"/>
      <c r="L462" s="59"/>
      <c r="M462" s="59"/>
      <c r="N462" s="59"/>
      <c r="O462" s="59"/>
    </row>
    <row r="463" spans="1:15" x14ac:dyDescent="0.25">
      <c r="A463" s="59"/>
      <c r="B463" s="59"/>
      <c r="F463" s="59"/>
      <c r="G463" s="59"/>
      <c r="H463" s="59"/>
      <c r="I463" s="59"/>
      <c r="J463" s="86"/>
      <c r="K463" s="59"/>
      <c r="L463" s="59"/>
      <c r="M463" s="59"/>
      <c r="N463" s="59"/>
      <c r="O463" s="59"/>
    </row>
    <row r="464" spans="1:15" x14ac:dyDescent="0.25">
      <c r="A464" s="59"/>
      <c r="B464" s="59"/>
      <c r="F464" s="59"/>
      <c r="G464" s="59"/>
      <c r="H464" s="59"/>
      <c r="I464" s="59"/>
      <c r="J464" s="86"/>
      <c r="K464" s="59"/>
      <c r="L464" s="59"/>
      <c r="M464" s="59"/>
      <c r="N464" s="59"/>
      <c r="O464" s="59"/>
    </row>
    <row r="465" spans="1:15" x14ac:dyDescent="0.25">
      <c r="A465" s="59"/>
      <c r="B465" s="59"/>
      <c r="F465" s="59"/>
      <c r="G465" s="59"/>
      <c r="H465" s="59"/>
      <c r="I465" s="59"/>
      <c r="J465" s="86"/>
      <c r="K465" s="59"/>
      <c r="L465" s="59"/>
      <c r="M465" s="59"/>
      <c r="N465" s="59"/>
      <c r="O465" s="59"/>
    </row>
    <row r="466" spans="1:15" x14ac:dyDescent="0.25">
      <c r="A466" s="59"/>
      <c r="B466" s="59"/>
      <c r="F466" s="59"/>
      <c r="G466" s="59"/>
      <c r="H466" s="59"/>
      <c r="I466" s="59"/>
      <c r="J466" s="86"/>
      <c r="K466" s="59"/>
      <c r="L466" s="59"/>
      <c r="M466" s="59"/>
      <c r="N466" s="59"/>
      <c r="O466" s="59"/>
    </row>
    <row r="467" spans="1:15" x14ac:dyDescent="0.25">
      <c r="A467" s="59"/>
      <c r="B467" s="59"/>
      <c r="F467" s="59"/>
      <c r="G467" s="59"/>
      <c r="H467" s="59"/>
      <c r="I467" s="59"/>
      <c r="J467" s="86"/>
      <c r="K467" s="59"/>
      <c r="L467" s="59"/>
      <c r="M467" s="59"/>
      <c r="N467" s="59"/>
      <c r="O467" s="59"/>
    </row>
    <row r="468" spans="1:15" x14ac:dyDescent="0.25">
      <c r="A468" s="59"/>
      <c r="B468" s="59"/>
      <c r="F468" s="59"/>
      <c r="G468" s="59"/>
      <c r="H468" s="59"/>
      <c r="I468" s="59"/>
      <c r="J468" s="86"/>
      <c r="K468" s="59"/>
      <c r="L468" s="59"/>
      <c r="M468" s="59"/>
      <c r="N468" s="59"/>
      <c r="O468" s="59"/>
    </row>
    <row r="469" spans="1:15" x14ac:dyDescent="0.25">
      <c r="A469" s="59"/>
      <c r="B469" s="59"/>
      <c r="F469" s="59"/>
      <c r="G469" s="59"/>
      <c r="H469" s="59"/>
      <c r="I469" s="59"/>
      <c r="J469" s="86"/>
      <c r="K469" s="59"/>
      <c r="L469" s="59"/>
      <c r="M469" s="59"/>
      <c r="N469" s="59"/>
      <c r="O469" s="59"/>
    </row>
    <row r="470" spans="1:15" x14ac:dyDescent="0.25">
      <c r="A470" s="59"/>
      <c r="B470" s="59"/>
      <c r="F470" s="59"/>
      <c r="G470" s="59"/>
      <c r="H470" s="59"/>
      <c r="I470" s="59"/>
      <c r="J470" s="86"/>
      <c r="K470" s="59"/>
      <c r="L470" s="59"/>
      <c r="M470" s="59"/>
      <c r="N470" s="59"/>
      <c r="O470" s="59"/>
    </row>
    <row r="471" spans="1:15" x14ac:dyDescent="0.25">
      <c r="A471" s="59"/>
      <c r="B471" s="59"/>
      <c r="F471" s="59"/>
      <c r="G471" s="59"/>
      <c r="H471" s="59"/>
      <c r="I471" s="59"/>
      <c r="J471" s="86"/>
      <c r="K471" s="59"/>
      <c r="L471" s="59"/>
      <c r="M471" s="59"/>
      <c r="N471" s="59"/>
      <c r="O471" s="59"/>
    </row>
    <row r="472" spans="1:15" x14ac:dyDescent="0.25">
      <c r="A472" s="59"/>
      <c r="B472" s="59"/>
      <c r="F472" s="59"/>
      <c r="G472" s="59"/>
      <c r="H472" s="59"/>
      <c r="I472" s="59"/>
      <c r="J472" s="86"/>
      <c r="K472" s="59"/>
      <c r="L472" s="59"/>
      <c r="M472" s="59"/>
      <c r="N472" s="59"/>
      <c r="O472" s="59"/>
    </row>
    <row r="473" spans="1:15" x14ac:dyDescent="0.25">
      <c r="A473" s="59"/>
      <c r="B473" s="59"/>
      <c r="F473" s="59"/>
      <c r="G473" s="59"/>
      <c r="H473" s="59"/>
      <c r="I473" s="59"/>
      <c r="J473" s="86"/>
      <c r="K473" s="59"/>
      <c r="L473" s="59"/>
      <c r="M473" s="59"/>
      <c r="N473" s="59"/>
      <c r="O473" s="59"/>
    </row>
    <row r="474" spans="1:15" x14ac:dyDescent="0.25">
      <c r="A474" s="59"/>
      <c r="B474" s="59"/>
      <c r="F474" s="59"/>
      <c r="G474" s="59"/>
      <c r="H474" s="59"/>
      <c r="I474" s="59"/>
      <c r="J474" s="86"/>
      <c r="K474" s="59"/>
      <c r="L474" s="59"/>
      <c r="M474" s="59"/>
      <c r="N474" s="59"/>
      <c r="O474" s="59"/>
    </row>
    <row r="475" spans="1:15" x14ac:dyDescent="0.25">
      <c r="A475" s="59"/>
      <c r="B475" s="59"/>
      <c r="F475" s="59"/>
      <c r="G475" s="59"/>
      <c r="H475" s="59"/>
      <c r="I475" s="59"/>
      <c r="J475" s="86"/>
      <c r="K475" s="59"/>
      <c r="L475" s="59"/>
      <c r="M475" s="59"/>
      <c r="N475" s="59"/>
      <c r="O475" s="59"/>
    </row>
    <row r="476" spans="1:15" x14ac:dyDescent="0.25">
      <c r="A476" s="59"/>
      <c r="B476" s="59"/>
      <c r="F476" s="59"/>
      <c r="G476" s="59"/>
      <c r="H476" s="59"/>
      <c r="I476" s="59"/>
      <c r="J476" s="86"/>
      <c r="K476" s="59"/>
      <c r="L476" s="59"/>
      <c r="M476" s="59"/>
      <c r="N476" s="59"/>
      <c r="O476" s="59"/>
    </row>
    <row r="477" spans="1:15" x14ac:dyDescent="0.25">
      <c r="A477" s="59"/>
      <c r="B477" s="59"/>
      <c r="F477" s="59"/>
      <c r="G477" s="59"/>
      <c r="H477" s="59"/>
      <c r="I477" s="59"/>
      <c r="J477" s="86"/>
      <c r="K477" s="59"/>
      <c r="L477" s="59"/>
      <c r="M477" s="59"/>
      <c r="N477" s="59"/>
      <c r="O477" s="59"/>
    </row>
    <row r="478" spans="1:15" x14ac:dyDescent="0.25">
      <c r="A478" s="59"/>
      <c r="B478" s="59"/>
      <c r="F478" s="59"/>
      <c r="G478" s="59"/>
      <c r="H478" s="59"/>
      <c r="I478" s="59"/>
      <c r="J478" s="86"/>
      <c r="K478" s="59"/>
      <c r="L478" s="59"/>
      <c r="M478" s="59"/>
      <c r="N478" s="59"/>
      <c r="O478" s="59"/>
    </row>
    <row r="479" spans="1:15" x14ac:dyDescent="0.25">
      <c r="A479" s="59"/>
      <c r="B479" s="59"/>
      <c r="F479" s="59"/>
      <c r="G479" s="59"/>
      <c r="H479" s="59"/>
      <c r="I479" s="59"/>
      <c r="J479" s="86"/>
      <c r="K479" s="59"/>
      <c r="L479" s="59"/>
      <c r="M479" s="59"/>
      <c r="N479" s="59"/>
      <c r="O479" s="59"/>
    </row>
    <row r="480" spans="1:15" x14ac:dyDescent="0.25">
      <c r="A480" s="59"/>
      <c r="B480" s="59"/>
      <c r="F480" s="59"/>
      <c r="G480" s="59"/>
      <c r="H480" s="59"/>
      <c r="I480" s="59"/>
      <c r="J480" s="86"/>
      <c r="K480" s="59"/>
      <c r="L480" s="59"/>
      <c r="M480" s="59"/>
      <c r="N480" s="59"/>
      <c r="O480" s="59"/>
    </row>
    <row r="481" spans="1:15" x14ac:dyDescent="0.25">
      <c r="A481" s="59"/>
      <c r="B481" s="59"/>
      <c r="F481" s="59"/>
      <c r="G481" s="59"/>
      <c r="H481" s="59"/>
      <c r="I481" s="59"/>
      <c r="J481" s="86"/>
      <c r="K481" s="59"/>
      <c r="L481" s="59"/>
      <c r="M481" s="59"/>
      <c r="N481" s="59"/>
      <c r="O481" s="59"/>
    </row>
    <row r="482" spans="1:15" x14ac:dyDescent="0.25">
      <c r="A482" s="59"/>
      <c r="B482" s="59"/>
      <c r="F482" s="59"/>
      <c r="G482" s="59"/>
      <c r="H482" s="59"/>
      <c r="I482" s="59"/>
      <c r="J482" s="86"/>
      <c r="K482" s="59"/>
      <c r="L482" s="59"/>
      <c r="M482" s="59"/>
      <c r="N482" s="59"/>
      <c r="O482" s="59"/>
    </row>
    <row r="483" spans="1:15" x14ac:dyDescent="0.25">
      <c r="A483" s="59"/>
      <c r="B483" s="59"/>
      <c r="F483" s="59"/>
      <c r="G483" s="59"/>
      <c r="H483" s="59"/>
      <c r="I483" s="59"/>
      <c r="J483" s="86"/>
      <c r="K483" s="59"/>
      <c r="L483" s="59"/>
      <c r="M483" s="59"/>
      <c r="N483" s="59"/>
      <c r="O483" s="59"/>
    </row>
    <row r="484" spans="1:15" x14ac:dyDescent="0.25">
      <c r="A484" s="59"/>
      <c r="B484" s="59"/>
      <c r="F484" s="59"/>
      <c r="G484" s="59"/>
      <c r="H484" s="59"/>
      <c r="I484" s="59"/>
      <c r="J484" s="86"/>
      <c r="K484" s="59"/>
      <c r="L484" s="59"/>
      <c r="M484" s="59"/>
      <c r="N484" s="59"/>
      <c r="O484" s="59"/>
    </row>
    <row r="485" spans="1:15" x14ac:dyDescent="0.25">
      <c r="A485" s="59"/>
      <c r="B485" s="59"/>
      <c r="F485" s="59"/>
      <c r="G485" s="59"/>
      <c r="H485" s="59"/>
      <c r="I485" s="59"/>
      <c r="J485" s="86"/>
      <c r="K485" s="59"/>
      <c r="L485" s="59"/>
      <c r="M485" s="59"/>
      <c r="N485" s="59"/>
      <c r="O485" s="59"/>
    </row>
    <row r="486" spans="1:15" x14ac:dyDescent="0.25">
      <c r="A486" s="59"/>
      <c r="B486" s="59"/>
      <c r="F486" s="59"/>
      <c r="G486" s="59"/>
      <c r="H486" s="59"/>
      <c r="I486" s="59"/>
      <c r="J486" s="86"/>
      <c r="K486" s="59"/>
      <c r="L486" s="59"/>
      <c r="M486" s="59"/>
      <c r="N486" s="59"/>
      <c r="O486" s="59"/>
    </row>
    <row r="487" spans="1:15" x14ac:dyDescent="0.25">
      <c r="A487" s="59"/>
      <c r="B487" s="59"/>
      <c r="F487" s="59"/>
      <c r="G487" s="59"/>
      <c r="H487" s="59"/>
      <c r="I487" s="59"/>
      <c r="J487" s="86"/>
      <c r="K487" s="59"/>
      <c r="L487" s="59"/>
      <c r="M487" s="59"/>
      <c r="N487" s="59"/>
      <c r="O487" s="59"/>
    </row>
    <row r="488" spans="1:15" x14ac:dyDescent="0.25">
      <c r="A488" s="59"/>
      <c r="B488" s="59"/>
      <c r="F488" s="59"/>
      <c r="G488" s="59"/>
      <c r="H488" s="59"/>
      <c r="I488" s="59"/>
      <c r="J488" s="86"/>
      <c r="K488" s="59"/>
      <c r="L488" s="59"/>
      <c r="M488" s="59"/>
      <c r="N488" s="59"/>
      <c r="O488" s="59"/>
    </row>
    <row r="489" spans="1:15" x14ac:dyDescent="0.25">
      <c r="A489" s="59"/>
      <c r="B489" s="59"/>
      <c r="F489" s="59"/>
      <c r="G489" s="59"/>
      <c r="H489" s="59"/>
      <c r="I489" s="59"/>
      <c r="J489" s="86"/>
      <c r="K489" s="59"/>
      <c r="L489" s="59"/>
      <c r="M489" s="59"/>
      <c r="N489" s="59"/>
      <c r="O489" s="59"/>
    </row>
    <row r="490" spans="1:15" x14ac:dyDescent="0.25">
      <c r="A490" s="59"/>
      <c r="B490" s="59"/>
      <c r="F490" s="59"/>
      <c r="G490" s="59"/>
      <c r="H490" s="59"/>
      <c r="I490" s="59"/>
      <c r="J490" s="86"/>
      <c r="K490" s="59"/>
      <c r="L490" s="59"/>
      <c r="M490" s="59"/>
      <c r="N490" s="59"/>
      <c r="O490" s="59"/>
    </row>
    <row r="491" spans="1:15" x14ac:dyDescent="0.25">
      <c r="A491" s="59"/>
      <c r="B491" s="59"/>
      <c r="F491" s="59"/>
      <c r="G491" s="59"/>
      <c r="H491" s="59"/>
      <c r="I491" s="59"/>
      <c r="J491" s="86"/>
      <c r="K491" s="59"/>
      <c r="L491" s="59"/>
      <c r="M491" s="59"/>
      <c r="N491" s="59"/>
      <c r="O491" s="59"/>
    </row>
    <row r="492" spans="1:15" x14ac:dyDescent="0.25">
      <c r="A492" s="59"/>
      <c r="B492" s="59"/>
      <c r="F492" s="59"/>
      <c r="G492" s="59"/>
      <c r="H492" s="59"/>
      <c r="I492" s="59"/>
      <c r="J492" s="86"/>
      <c r="K492" s="59"/>
      <c r="L492" s="59"/>
      <c r="M492" s="59"/>
      <c r="N492" s="59"/>
      <c r="O492" s="59"/>
    </row>
    <row r="493" spans="1:15" x14ac:dyDescent="0.25">
      <c r="A493" s="59"/>
      <c r="B493" s="59"/>
      <c r="F493" s="59"/>
      <c r="G493" s="59"/>
      <c r="H493" s="59"/>
      <c r="I493" s="59"/>
      <c r="J493" s="86"/>
      <c r="K493" s="59"/>
      <c r="L493" s="59"/>
      <c r="M493" s="59"/>
      <c r="N493" s="59"/>
      <c r="O493" s="59"/>
    </row>
    <row r="494" spans="1:15" x14ac:dyDescent="0.25">
      <c r="A494" s="59"/>
      <c r="B494" s="59"/>
      <c r="F494" s="59"/>
      <c r="G494" s="59"/>
      <c r="H494" s="59"/>
      <c r="I494" s="59"/>
      <c r="J494" s="86"/>
      <c r="K494" s="59"/>
      <c r="L494" s="59"/>
      <c r="M494" s="59"/>
      <c r="N494" s="59"/>
      <c r="O494" s="59"/>
    </row>
    <row r="495" spans="1:15" x14ac:dyDescent="0.25">
      <c r="A495" s="59"/>
      <c r="B495" s="59"/>
      <c r="F495" s="59"/>
      <c r="G495" s="59"/>
      <c r="H495" s="59"/>
      <c r="I495" s="59"/>
      <c r="J495" s="86"/>
      <c r="K495" s="59"/>
      <c r="L495" s="59"/>
      <c r="M495" s="59"/>
      <c r="N495" s="59"/>
      <c r="O495" s="59"/>
    </row>
    <row r="496" spans="1:15" x14ac:dyDescent="0.25">
      <c r="A496" s="59"/>
      <c r="B496" s="59"/>
      <c r="F496" s="59"/>
      <c r="G496" s="59"/>
      <c r="H496" s="59"/>
      <c r="I496" s="59"/>
      <c r="J496" s="86"/>
      <c r="K496" s="59"/>
      <c r="L496" s="59"/>
      <c r="M496" s="59"/>
      <c r="N496" s="59"/>
      <c r="O496" s="59"/>
    </row>
    <row r="497" spans="1:15" x14ac:dyDescent="0.25">
      <c r="A497" s="59"/>
      <c r="B497" s="59"/>
      <c r="F497" s="59"/>
      <c r="G497" s="59"/>
      <c r="H497" s="59"/>
      <c r="I497" s="59"/>
      <c r="J497" s="86"/>
      <c r="K497" s="59"/>
      <c r="L497" s="59"/>
      <c r="M497" s="59"/>
      <c r="N497" s="59"/>
      <c r="O497" s="59"/>
    </row>
    <row r="498" spans="1:15" x14ac:dyDescent="0.25">
      <c r="A498" s="59"/>
      <c r="B498" s="59"/>
      <c r="F498" s="59"/>
      <c r="G498" s="59"/>
      <c r="H498" s="59"/>
      <c r="I498" s="59"/>
      <c r="J498" s="86"/>
      <c r="K498" s="59"/>
      <c r="L498" s="59"/>
      <c r="M498" s="59"/>
      <c r="N498" s="59"/>
      <c r="O498" s="59"/>
    </row>
    <row r="499" spans="1:15" x14ac:dyDescent="0.25">
      <c r="A499" s="59"/>
      <c r="B499" s="59"/>
      <c r="F499" s="59"/>
      <c r="G499" s="59"/>
      <c r="H499" s="59"/>
      <c r="I499" s="59"/>
      <c r="J499" s="86"/>
      <c r="K499" s="59"/>
      <c r="L499" s="59"/>
      <c r="M499" s="59"/>
      <c r="N499" s="59"/>
      <c r="O499" s="59"/>
    </row>
    <row r="500" spans="1:15" x14ac:dyDescent="0.25">
      <c r="A500" s="59"/>
      <c r="B500" s="59"/>
      <c r="F500" s="59"/>
      <c r="G500" s="59"/>
      <c r="H500" s="59"/>
      <c r="I500" s="59"/>
      <c r="J500" s="86"/>
      <c r="K500" s="59"/>
      <c r="L500" s="59"/>
      <c r="M500" s="59"/>
      <c r="N500" s="59"/>
      <c r="O500" s="59"/>
    </row>
    <row r="501" spans="1:15" x14ac:dyDescent="0.25">
      <c r="A501" s="59"/>
      <c r="B501" s="59"/>
      <c r="F501" s="59"/>
      <c r="G501" s="59"/>
      <c r="H501" s="59"/>
      <c r="I501" s="59"/>
      <c r="J501" s="86"/>
      <c r="K501" s="59"/>
      <c r="L501" s="59"/>
      <c r="M501" s="59"/>
      <c r="N501" s="59"/>
      <c r="O501" s="59"/>
    </row>
    <row r="502" spans="1:15" x14ac:dyDescent="0.25">
      <c r="A502" s="59"/>
      <c r="B502" s="59"/>
      <c r="F502" s="59"/>
      <c r="G502" s="59"/>
      <c r="H502" s="59"/>
      <c r="I502" s="59"/>
      <c r="J502" s="86"/>
      <c r="K502" s="59"/>
      <c r="L502" s="59"/>
      <c r="M502" s="59"/>
      <c r="N502" s="59"/>
      <c r="O502" s="59"/>
    </row>
    <row r="503" spans="1:15" x14ac:dyDescent="0.25">
      <c r="A503" s="59"/>
      <c r="B503" s="59"/>
      <c r="F503" s="59"/>
      <c r="G503" s="59"/>
      <c r="H503" s="59"/>
      <c r="I503" s="59"/>
      <c r="J503" s="86"/>
      <c r="K503" s="59"/>
      <c r="L503" s="59"/>
      <c r="M503" s="59"/>
      <c r="N503" s="59"/>
      <c r="O503" s="59"/>
    </row>
    <row r="504" spans="1:15" x14ac:dyDescent="0.25">
      <c r="A504" s="59"/>
      <c r="B504" s="59"/>
      <c r="F504" s="59"/>
      <c r="G504" s="59"/>
      <c r="H504" s="59"/>
      <c r="I504" s="59"/>
      <c r="J504" s="86"/>
      <c r="K504" s="59"/>
      <c r="L504" s="59"/>
      <c r="M504" s="59"/>
      <c r="N504" s="59"/>
      <c r="O504" s="59"/>
    </row>
    <row r="505" spans="1:15" x14ac:dyDescent="0.25">
      <c r="A505" s="59"/>
      <c r="B505" s="59"/>
      <c r="F505" s="59"/>
      <c r="G505" s="59"/>
      <c r="H505" s="59"/>
      <c r="I505" s="59"/>
      <c r="J505" s="86"/>
      <c r="K505" s="59"/>
      <c r="L505" s="59"/>
      <c r="M505" s="59"/>
      <c r="N505" s="59"/>
      <c r="O505" s="59"/>
    </row>
    <row r="506" spans="1:15" x14ac:dyDescent="0.25">
      <c r="A506" s="59"/>
      <c r="B506" s="59"/>
      <c r="F506" s="59"/>
      <c r="G506" s="59"/>
      <c r="H506" s="59"/>
      <c r="I506" s="59"/>
      <c r="J506" s="86"/>
      <c r="K506" s="59"/>
      <c r="L506" s="59"/>
      <c r="M506" s="59"/>
      <c r="N506" s="59"/>
      <c r="O506" s="59"/>
    </row>
    <row r="507" spans="1:15" x14ac:dyDescent="0.25">
      <c r="A507" s="59"/>
      <c r="B507" s="59"/>
      <c r="F507" s="59"/>
      <c r="G507" s="59"/>
      <c r="H507" s="59"/>
      <c r="I507" s="59"/>
      <c r="J507" s="86"/>
      <c r="K507" s="59"/>
      <c r="L507" s="59"/>
      <c r="M507" s="59"/>
      <c r="N507" s="59"/>
      <c r="O507" s="59"/>
    </row>
    <row r="508" spans="1:15" x14ac:dyDescent="0.25">
      <c r="A508" s="59"/>
      <c r="B508" s="59"/>
      <c r="F508" s="59"/>
      <c r="G508" s="59"/>
      <c r="H508" s="59"/>
      <c r="I508" s="59"/>
      <c r="J508" s="86"/>
      <c r="K508" s="59"/>
      <c r="L508" s="59"/>
      <c r="M508" s="59"/>
      <c r="N508" s="59"/>
      <c r="O508" s="59"/>
    </row>
    <row r="509" spans="1:15" x14ac:dyDescent="0.25">
      <c r="A509" s="59"/>
      <c r="B509" s="59"/>
      <c r="F509" s="59"/>
      <c r="G509" s="59"/>
      <c r="H509" s="59"/>
      <c r="I509" s="59"/>
      <c r="J509" s="86"/>
      <c r="K509" s="59"/>
      <c r="L509" s="59"/>
      <c r="M509" s="59"/>
      <c r="N509" s="59"/>
      <c r="O509" s="59"/>
    </row>
    <row r="510" spans="1:15" x14ac:dyDescent="0.25">
      <c r="A510" s="59"/>
      <c r="B510" s="59"/>
      <c r="F510" s="59"/>
      <c r="G510" s="59"/>
      <c r="H510" s="59"/>
      <c r="I510" s="59"/>
      <c r="J510" s="86"/>
      <c r="K510" s="59"/>
      <c r="L510" s="59"/>
      <c r="M510" s="59"/>
      <c r="N510" s="59"/>
      <c r="O510" s="59"/>
    </row>
    <row r="511" spans="1:15" x14ac:dyDescent="0.25">
      <c r="A511" s="59"/>
      <c r="B511" s="59"/>
      <c r="F511" s="59"/>
      <c r="G511" s="59"/>
      <c r="H511" s="59"/>
      <c r="I511" s="59"/>
      <c r="J511" s="86"/>
      <c r="K511" s="59"/>
      <c r="L511" s="59"/>
      <c r="M511" s="59"/>
      <c r="N511" s="59"/>
      <c r="O511" s="59"/>
    </row>
    <row r="512" spans="1:15" x14ac:dyDescent="0.25">
      <c r="A512" s="59"/>
      <c r="B512" s="59"/>
      <c r="F512" s="59"/>
      <c r="G512" s="59"/>
      <c r="H512" s="59"/>
      <c r="I512" s="59"/>
      <c r="J512" s="86"/>
      <c r="K512" s="59"/>
      <c r="L512" s="59"/>
      <c r="M512" s="59"/>
      <c r="N512" s="59"/>
      <c r="O512" s="59"/>
    </row>
    <row r="513" spans="1:15" x14ac:dyDescent="0.25">
      <c r="A513" s="59"/>
      <c r="B513" s="59"/>
      <c r="F513" s="59"/>
      <c r="G513" s="59"/>
      <c r="H513" s="59"/>
      <c r="I513" s="59"/>
      <c r="J513" s="86"/>
      <c r="K513" s="59"/>
      <c r="L513" s="59"/>
      <c r="M513" s="59"/>
      <c r="N513" s="59"/>
      <c r="O513" s="59"/>
    </row>
    <row r="514" spans="1:15" x14ac:dyDescent="0.25">
      <c r="A514" s="59"/>
      <c r="B514" s="59"/>
      <c r="F514" s="59"/>
      <c r="G514" s="59"/>
      <c r="H514" s="59"/>
      <c r="I514" s="59"/>
      <c r="J514" s="86"/>
      <c r="K514" s="59"/>
      <c r="L514" s="59"/>
      <c r="M514" s="59"/>
      <c r="N514" s="59"/>
      <c r="O514" s="59"/>
    </row>
    <row r="515" spans="1:15" x14ac:dyDescent="0.25">
      <c r="A515" s="59"/>
      <c r="B515" s="59"/>
      <c r="F515" s="59"/>
      <c r="G515" s="59"/>
      <c r="H515" s="59"/>
      <c r="I515" s="59"/>
      <c r="J515" s="86"/>
      <c r="K515" s="59"/>
      <c r="L515" s="59"/>
      <c r="M515" s="59"/>
      <c r="N515" s="59"/>
      <c r="O515" s="59"/>
    </row>
    <row r="516" spans="1:15" x14ac:dyDescent="0.25">
      <c r="A516" s="59"/>
      <c r="B516" s="59"/>
      <c r="F516" s="59"/>
      <c r="G516" s="59"/>
      <c r="H516" s="59"/>
      <c r="I516" s="59"/>
      <c r="J516" s="86"/>
      <c r="K516" s="59"/>
      <c r="L516" s="59"/>
      <c r="M516" s="59"/>
      <c r="N516" s="59"/>
      <c r="O516" s="59"/>
    </row>
    <row r="517" spans="1:15" x14ac:dyDescent="0.25">
      <c r="A517" s="59"/>
      <c r="B517" s="59"/>
      <c r="F517" s="59"/>
      <c r="G517" s="59"/>
      <c r="H517" s="59"/>
      <c r="I517" s="59"/>
      <c r="J517" s="86"/>
      <c r="K517" s="59"/>
      <c r="L517" s="59"/>
      <c r="M517" s="59"/>
      <c r="N517" s="59"/>
      <c r="O517" s="59"/>
    </row>
    <row r="518" spans="1:15" x14ac:dyDescent="0.25">
      <c r="A518" s="59"/>
      <c r="B518" s="59"/>
      <c r="F518" s="59"/>
      <c r="G518" s="59"/>
      <c r="H518" s="59"/>
      <c r="I518" s="59"/>
      <c r="J518" s="86"/>
      <c r="K518" s="59"/>
      <c r="L518" s="59"/>
      <c r="M518" s="59"/>
      <c r="N518" s="59"/>
      <c r="O518" s="59"/>
    </row>
    <row r="519" spans="1:15" x14ac:dyDescent="0.25">
      <c r="A519" s="59"/>
      <c r="B519" s="59"/>
      <c r="F519" s="59"/>
      <c r="G519" s="59"/>
      <c r="H519" s="59"/>
      <c r="I519" s="59"/>
      <c r="J519" s="86"/>
      <c r="K519" s="59"/>
      <c r="L519" s="59"/>
      <c r="M519" s="59"/>
      <c r="N519" s="59"/>
      <c r="O519" s="59"/>
    </row>
    <row r="520" spans="1:15" x14ac:dyDescent="0.25">
      <c r="A520" s="59"/>
      <c r="B520" s="59"/>
      <c r="F520" s="59"/>
      <c r="G520" s="59"/>
      <c r="H520" s="59"/>
      <c r="I520" s="59"/>
      <c r="J520" s="86"/>
      <c r="K520" s="59"/>
      <c r="L520" s="59"/>
      <c r="M520" s="59"/>
      <c r="N520" s="59"/>
      <c r="O520" s="59"/>
    </row>
    <row r="521" spans="1:15" x14ac:dyDescent="0.25">
      <c r="A521" s="59"/>
      <c r="B521" s="59"/>
      <c r="F521" s="59"/>
      <c r="G521" s="59"/>
      <c r="H521" s="59"/>
      <c r="I521" s="59"/>
      <c r="J521" s="86"/>
      <c r="K521" s="59"/>
      <c r="L521" s="59"/>
      <c r="M521" s="59"/>
      <c r="N521" s="59"/>
      <c r="O521" s="59"/>
    </row>
    <row r="522" spans="1:15" x14ac:dyDescent="0.25">
      <c r="A522" s="59"/>
      <c r="B522" s="59"/>
      <c r="F522" s="59"/>
      <c r="G522" s="59"/>
      <c r="H522" s="59"/>
      <c r="I522" s="59"/>
      <c r="J522" s="86"/>
      <c r="K522" s="59"/>
      <c r="L522" s="59"/>
      <c r="M522" s="59"/>
      <c r="N522" s="59"/>
      <c r="O522" s="59"/>
    </row>
    <row r="523" spans="1:15" x14ac:dyDescent="0.25">
      <c r="A523" s="59"/>
      <c r="B523" s="59"/>
      <c r="F523" s="59"/>
      <c r="G523" s="59"/>
      <c r="H523" s="59"/>
      <c r="I523" s="59"/>
      <c r="J523" s="86"/>
      <c r="K523" s="59"/>
      <c r="L523" s="59"/>
      <c r="M523" s="59"/>
      <c r="N523" s="59"/>
      <c r="O523" s="59"/>
    </row>
    <row r="524" spans="1:15" x14ac:dyDescent="0.25">
      <c r="A524" s="59"/>
      <c r="B524" s="59"/>
      <c r="F524" s="59"/>
      <c r="G524" s="59"/>
      <c r="H524" s="59"/>
      <c r="I524" s="59"/>
      <c r="J524" s="86"/>
      <c r="K524" s="59"/>
      <c r="L524" s="59"/>
      <c r="M524" s="59"/>
      <c r="N524" s="59"/>
      <c r="O524" s="59"/>
    </row>
    <row r="525" spans="1:15" x14ac:dyDescent="0.25">
      <c r="A525" s="59"/>
      <c r="B525" s="59"/>
      <c r="F525" s="59"/>
      <c r="G525" s="59"/>
      <c r="H525" s="59"/>
      <c r="I525" s="59"/>
      <c r="J525" s="86"/>
      <c r="K525" s="59"/>
      <c r="L525" s="59"/>
      <c r="M525" s="59"/>
      <c r="N525" s="59"/>
      <c r="O525" s="59"/>
    </row>
    <row r="526" spans="1:15" x14ac:dyDescent="0.25">
      <c r="A526" s="59"/>
      <c r="B526" s="59"/>
      <c r="F526" s="59"/>
      <c r="G526" s="59"/>
      <c r="H526" s="59"/>
      <c r="I526" s="59"/>
      <c r="J526" s="86"/>
      <c r="K526" s="59"/>
      <c r="L526" s="59"/>
      <c r="M526" s="59"/>
      <c r="N526" s="59"/>
      <c r="O526" s="59"/>
    </row>
    <row r="527" spans="1:15" x14ac:dyDescent="0.25">
      <c r="A527" s="59"/>
      <c r="B527" s="59"/>
      <c r="F527" s="59"/>
      <c r="G527" s="59"/>
      <c r="H527" s="59"/>
      <c r="I527" s="59"/>
      <c r="J527" s="86"/>
      <c r="K527" s="59"/>
      <c r="L527" s="59"/>
      <c r="M527" s="59"/>
      <c r="N527" s="59"/>
      <c r="O527" s="59"/>
    </row>
    <row r="528" spans="1:15" x14ac:dyDescent="0.25">
      <c r="A528" s="59"/>
      <c r="B528" s="59"/>
      <c r="F528" s="59"/>
      <c r="G528" s="59"/>
      <c r="H528" s="59"/>
      <c r="I528" s="59"/>
      <c r="J528" s="86"/>
      <c r="K528" s="59"/>
      <c r="L528" s="59"/>
      <c r="M528" s="59"/>
      <c r="N528" s="59"/>
      <c r="O528" s="59"/>
    </row>
    <row r="529" spans="1:15" x14ac:dyDescent="0.25">
      <c r="A529" s="59"/>
      <c r="B529" s="59"/>
      <c r="F529" s="59"/>
      <c r="G529" s="59"/>
      <c r="H529" s="59"/>
      <c r="I529" s="59"/>
      <c r="J529" s="86"/>
      <c r="K529" s="59"/>
      <c r="L529" s="59"/>
      <c r="M529" s="59"/>
      <c r="N529" s="59"/>
      <c r="O529" s="59"/>
    </row>
    <row r="530" spans="1:15" x14ac:dyDescent="0.25">
      <c r="A530" s="59"/>
      <c r="B530" s="59"/>
      <c r="F530" s="59"/>
      <c r="G530" s="59"/>
      <c r="H530" s="59"/>
      <c r="I530" s="59"/>
      <c r="J530" s="86"/>
      <c r="K530" s="59"/>
      <c r="L530" s="59"/>
      <c r="M530" s="59"/>
      <c r="N530" s="59"/>
      <c r="O530" s="59"/>
    </row>
    <row r="531" spans="1:15" x14ac:dyDescent="0.25">
      <c r="A531" s="59"/>
      <c r="B531" s="59"/>
      <c r="F531" s="59"/>
      <c r="G531" s="59"/>
      <c r="H531" s="59"/>
      <c r="I531" s="59"/>
      <c r="J531" s="86"/>
      <c r="K531" s="59"/>
      <c r="L531" s="59"/>
      <c r="M531" s="59"/>
      <c r="N531" s="59"/>
      <c r="O531" s="59"/>
    </row>
    <row r="532" spans="1:15" x14ac:dyDescent="0.25">
      <c r="A532" s="59"/>
      <c r="B532" s="59"/>
      <c r="F532" s="59"/>
      <c r="G532" s="59"/>
      <c r="H532" s="59"/>
      <c r="I532" s="59"/>
      <c r="J532" s="86"/>
      <c r="K532" s="59"/>
      <c r="L532" s="59"/>
      <c r="M532" s="59"/>
      <c r="N532" s="59"/>
      <c r="O532" s="59"/>
    </row>
    <row r="533" spans="1:15" x14ac:dyDescent="0.25">
      <c r="A533" s="59"/>
      <c r="B533" s="59"/>
      <c r="F533" s="59"/>
      <c r="G533" s="59"/>
      <c r="H533" s="59"/>
      <c r="I533" s="59"/>
      <c r="J533" s="86"/>
      <c r="K533" s="59"/>
      <c r="L533" s="59"/>
      <c r="M533" s="59"/>
      <c r="N533" s="59"/>
      <c r="O533" s="59"/>
    </row>
    <row r="534" spans="1:15" x14ac:dyDescent="0.25">
      <c r="A534" s="59"/>
      <c r="B534" s="59"/>
      <c r="F534" s="59"/>
      <c r="G534" s="59"/>
      <c r="H534" s="59"/>
      <c r="I534" s="59"/>
      <c r="J534" s="86"/>
      <c r="K534" s="59"/>
      <c r="L534" s="59"/>
      <c r="M534" s="59"/>
      <c r="N534" s="59"/>
      <c r="O534" s="59"/>
    </row>
    <row r="535" spans="1:15" x14ac:dyDescent="0.25">
      <c r="A535" s="59"/>
      <c r="B535" s="59"/>
      <c r="F535" s="59"/>
      <c r="G535" s="59"/>
      <c r="H535" s="59"/>
      <c r="I535" s="59"/>
      <c r="J535" s="86"/>
      <c r="K535" s="59"/>
      <c r="L535" s="59"/>
      <c r="M535" s="59"/>
      <c r="N535" s="59"/>
      <c r="O535" s="59"/>
    </row>
    <row r="536" spans="1:15" x14ac:dyDescent="0.25">
      <c r="A536" s="59"/>
      <c r="B536" s="59"/>
      <c r="F536" s="59"/>
      <c r="G536" s="59"/>
      <c r="H536" s="59"/>
      <c r="I536" s="59"/>
      <c r="J536" s="86"/>
      <c r="K536" s="59"/>
      <c r="L536" s="59"/>
      <c r="M536" s="59"/>
      <c r="N536" s="59"/>
      <c r="O536" s="59"/>
    </row>
    <row r="537" spans="1:15" x14ac:dyDescent="0.25">
      <c r="A537" s="59"/>
      <c r="B537" s="59"/>
      <c r="F537" s="59"/>
      <c r="G537" s="59"/>
      <c r="H537" s="59"/>
      <c r="I537" s="59"/>
      <c r="J537" s="86"/>
      <c r="K537" s="59"/>
      <c r="L537" s="59"/>
      <c r="M537" s="59"/>
      <c r="N537" s="59"/>
      <c r="O537" s="59"/>
    </row>
    <row r="538" spans="1:15" x14ac:dyDescent="0.25">
      <c r="A538" s="59"/>
      <c r="B538" s="59"/>
      <c r="F538" s="59"/>
      <c r="G538" s="59"/>
      <c r="H538" s="59"/>
      <c r="I538" s="59"/>
      <c r="J538" s="86"/>
      <c r="K538" s="59"/>
      <c r="L538" s="59"/>
      <c r="M538" s="59"/>
      <c r="N538" s="59"/>
      <c r="O538" s="59"/>
    </row>
    <row r="539" spans="1:15" x14ac:dyDescent="0.25">
      <c r="A539" s="59"/>
      <c r="B539" s="59"/>
      <c r="F539" s="59"/>
      <c r="G539" s="59"/>
      <c r="H539" s="59"/>
      <c r="I539" s="59"/>
      <c r="J539" s="86"/>
      <c r="K539" s="59"/>
      <c r="L539" s="59"/>
      <c r="M539" s="59"/>
      <c r="N539" s="59"/>
      <c r="O539" s="59"/>
    </row>
    <row r="540" spans="1:15" x14ac:dyDescent="0.25">
      <c r="A540" s="59"/>
      <c r="B540" s="59"/>
      <c r="F540" s="59"/>
      <c r="G540" s="59"/>
      <c r="H540" s="59"/>
      <c r="I540" s="59"/>
      <c r="J540" s="86"/>
      <c r="K540" s="59"/>
      <c r="L540" s="59"/>
      <c r="M540" s="59"/>
      <c r="N540" s="59"/>
      <c r="O540" s="59"/>
    </row>
    <row r="541" spans="1:15" x14ac:dyDescent="0.25">
      <c r="A541" s="59"/>
      <c r="B541" s="59"/>
      <c r="F541" s="59"/>
      <c r="G541" s="59"/>
      <c r="H541" s="59"/>
      <c r="I541" s="59"/>
      <c r="J541" s="86"/>
      <c r="K541" s="59"/>
      <c r="L541" s="59"/>
      <c r="M541" s="59"/>
      <c r="N541" s="59"/>
      <c r="O541" s="59"/>
    </row>
    <row r="542" spans="1:15" x14ac:dyDescent="0.25">
      <c r="A542" s="59"/>
      <c r="B542" s="59"/>
      <c r="F542" s="59"/>
      <c r="G542" s="59"/>
      <c r="H542" s="59"/>
      <c r="I542" s="59"/>
      <c r="J542" s="86"/>
      <c r="K542" s="59"/>
      <c r="L542" s="59"/>
      <c r="M542" s="59"/>
      <c r="N542" s="59"/>
      <c r="O542" s="59"/>
    </row>
    <row r="543" spans="1:15" x14ac:dyDescent="0.25">
      <c r="A543" s="59"/>
      <c r="B543" s="59"/>
      <c r="F543" s="59"/>
      <c r="G543" s="59"/>
      <c r="H543" s="59"/>
      <c r="I543" s="59"/>
      <c r="J543" s="86"/>
      <c r="K543" s="59"/>
      <c r="L543" s="59"/>
      <c r="M543" s="59"/>
      <c r="N543" s="59"/>
      <c r="O543" s="59"/>
    </row>
    <row r="544" spans="1:15" x14ac:dyDescent="0.25">
      <c r="A544" s="59"/>
      <c r="B544" s="59"/>
      <c r="F544" s="59"/>
      <c r="G544" s="59"/>
      <c r="H544" s="59"/>
      <c r="I544" s="59"/>
      <c r="J544" s="86"/>
      <c r="K544" s="59"/>
      <c r="L544" s="59"/>
      <c r="M544" s="59"/>
      <c r="N544" s="59"/>
      <c r="O544" s="59"/>
    </row>
    <row r="545" spans="1:15" x14ac:dyDescent="0.25">
      <c r="A545" s="59"/>
      <c r="B545" s="59"/>
      <c r="F545" s="59"/>
      <c r="G545" s="59"/>
      <c r="H545" s="59"/>
      <c r="I545" s="59"/>
      <c r="J545" s="86"/>
      <c r="K545" s="59"/>
      <c r="L545" s="59"/>
      <c r="M545" s="59"/>
      <c r="N545" s="59"/>
      <c r="O545" s="59"/>
    </row>
    <row r="546" spans="1:15" x14ac:dyDescent="0.25">
      <c r="A546" s="59"/>
      <c r="B546" s="59"/>
      <c r="F546" s="59"/>
      <c r="G546" s="59"/>
      <c r="H546" s="59"/>
      <c r="I546" s="59"/>
      <c r="J546" s="86"/>
      <c r="K546" s="59"/>
      <c r="L546" s="59"/>
      <c r="M546" s="59"/>
      <c r="N546" s="59"/>
      <c r="O546" s="59"/>
    </row>
    <row r="547" spans="1:15" x14ac:dyDescent="0.25">
      <c r="A547" s="59"/>
      <c r="B547" s="59"/>
      <c r="F547" s="59"/>
      <c r="G547" s="59"/>
      <c r="H547" s="59"/>
      <c r="I547" s="59"/>
      <c r="J547" s="86"/>
      <c r="K547" s="59"/>
      <c r="L547" s="59"/>
      <c r="M547" s="59"/>
      <c r="N547" s="59"/>
      <c r="O547" s="59"/>
    </row>
    <row r="548" spans="1:15" x14ac:dyDescent="0.25">
      <c r="A548" s="59"/>
      <c r="B548" s="59"/>
      <c r="F548" s="59"/>
      <c r="G548" s="59"/>
      <c r="H548" s="59"/>
      <c r="I548" s="59"/>
      <c r="J548" s="86"/>
      <c r="K548" s="59"/>
      <c r="L548" s="59"/>
      <c r="M548" s="59"/>
      <c r="N548" s="59"/>
      <c r="O548" s="59"/>
    </row>
    <row r="549" spans="1:15" x14ac:dyDescent="0.25">
      <c r="A549" s="59"/>
      <c r="B549" s="59"/>
      <c r="F549" s="59"/>
      <c r="G549" s="59"/>
      <c r="H549" s="59"/>
      <c r="I549" s="59"/>
      <c r="J549" s="86"/>
      <c r="K549" s="59"/>
      <c r="L549" s="59"/>
      <c r="M549" s="59"/>
      <c r="N549" s="59"/>
      <c r="O549" s="59"/>
    </row>
    <row r="550" spans="1:15" x14ac:dyDescent="0.25">
      <c r="A550" s="59"/>
      <c r="B550" s="59"/>
      <c r="F550" s="59"/>
      <c r="G550" s="59"/>
      <c r="H550" s="59"/>
      <c r="I550" s="59"/>
      <c r="J550" s="86"/>
      <c r="K550" s="59"/>
      <c r="L550" s="59"/>
      <c r="M550" s="59"/>
      <c r="N550" s="59"/>
      <c r="O550" s="59"/>
    </row>
    <row r="551" spans="1:15" x14ac:dyDescent="0.25">
      <c r="A551" s="59"/>
      <c r="B551" s="59"/>
      <c r="F551" s="59"/>
      <c r="G551" s="59"/>
      <c r="H551" s="59"/>
      <c r="I551" s="59"/>
      <c r="J551" s="86"/>
      <c r="K551" s="59"/>
      <c r="L551" s="59"/>
      <c r="M551" s="59"/>
      <c r="N551" s="59"/>
      <c r="O551" s="59"/>
    </row>
    <row r="552" spans="1:15" x14ac:dyDescent="0.25">
      <c r="A552" s="59"/>
      <c r="B552" s="59"/>
      <c r="F552" s="59"/>
      <c r="G552" s="59"/>
      <c r="H552" s="59"/>
      <c r="I552" s="59"/>
      <c r="J552" s="86"/>
      <c r="K552" s="59"/>
      <c r="L552" s="59"/>
      <c r="M552" s="59"/>
      <c r="N552" s="59"/>
      <c r="O552" s="59"/>
    </row>
    <row r="553" spans="1:15" x14ac:dyDescent="0.25">
      <c r="A553" s="59"/>
      <c r="B553" s="59"/>
      <c r="F553" s="59"/>
      <c r="G553" s="59"/>
      <c r="H553" s="59"/>
      <c r="I553" s="59"/>
      <c r="J553" s="86"/>
      <c r="K553" s="59"/>
      <c r="L553" s="59"/>
      <c r="M553" s="59"/>
      <c r="N553" s="59"/>
      <c r="O553" s="59"/>
    </row>
    <row r="554" spans="1:15" x14ac:dyDescent="0.25">
      <c r="A554" s="59"/>
      <c r="B554" s="59"/>
      <c r="F554" s="59"/>
      <c r="G554" s="59"/>
      <c r="H554" s="59"/>
      <c r="I554" s="59"/>
      <c r="J554" s="86"/>
      <c r="K554" s="59"/>
      <c r="L554" s="59"/>
      <c r="M554" s="59"/>
      <c r="N554" s="59"/>
      <c r="O554" s="59"/>
    </row>
    <row r="555" spans="1:15" x14ac:dyDescent="0.25">
      <c r="A555" s="59"/>
      <c r="B555" s="59"/>
      <c r="F555" s="59"/>
      <c r="G555" s="59"/>
      <c r="H555" s="59"/>
      <c r="I555" s="59"/>
      <c r="J555" s="86"/>
      <c r="K555" s="59"/>
      <c r="L555" s="59"/>
      <c r="M555" s="59"/>
      <c r="N555" s="59"/>
      <c r="O555" s="59"/>
    </row>
    <row r="556" spans="1:15" x14ac:dyDescent="0.25">
      <c r="A556" s="59"/>
      <c r="B556" s="59"/>
      <c r="F556" s="59"/>
      <c r="G556" s="59"/>
      <c r="H556" s="59"/>
      <c r="I556" s="59"/>
      <c r="J556" s="86"/>
      <c r="K556" s="59"/>
      <c r="L556" s="59"/>
      <c r="M556" s="59"/>
      <c r="N556" s="59"/>
      <c r="O556" s="59"/>
    </row>
    <row r="557" spans="1:15" x14ac:dyDescent="0.25">
      <c r="A557" s="59"/>
      <c r="B557" s="59"/>
      <c r="F557" s="59"/>
      <c r="G557" s="59"/>
      <c r="H557" s="59"/>
      <c r="I557" s="59"/>
      <c r="J557" s="86"/>
      <c r="K557" s="59"/>
      <c r="L557" s="59"/>
      <c r="M557" s="59"/>
      <c r="N557" s="59"/>
      <c r="O557" s="59"/>
    </row>
    <row r="558" spans="1:15" x14ac:dyDescent="0.25">
      <c r="A558" s="59"/>
      <c r="B558" s="59"/>
      <c r="F558" s="59"/>
      <c r="G558" s="59"/>
      <c r="H558" s="59"/>
      <c r="I558" s="59"/>
      <c r="J558" s="86"/>
      <c r="K558" s="59"/>
      <c r="L558" s="59"/>
      <c r="M558" s="59"/>
      <c r="N558" s="59"/>
      <c r="O558" s="59"/>
    </row>
    <row r="559" spans="1:15" x14ac:dyDescent="0.25">
      <c r="A559" s="59"/>
      <c r="B559" s="59"/>
      <c r="F559" s="59"/>
      <c r="G559" s="59"/>
      <c r="H559" s="59"/>
      <c r="I559" s="59"/>
      <c r="J559" s="86"/>
      <c r="K559" s="59"/>
      <c r="L559" s="59"/>
      <c r="M559" s="59"/>
      <c r="N559" s="59"/>
      <c r="O559" s="59"/>
    </row>
    <row r="560" spans="1:15" x14ac:dyDescent="0.25">
      <c r="A560" s="59"/>
      <c r="B560" s="59"/>
      <c r="F560" s="59"/>
      <c r="G560" s="59"/>
      <c r="H560" s="59"/>
      <c r="I560" s="59"/>
      <c r="J560" s="86"/>
      <c r="K560" s="59"/>
      <c r="L560" s="59"/>
      <c r="M560" s="59"/>
      <c r="N560" s="59"/>
      <c r="O560" s="59"/>
    </row>
    <row r="561" spans="1:15" x14ac:dyDescent="0.25">
      <c r="A561" s="59"/>
      <c r="B561" s="59"/>
      <c r="F561" s="59"/>
      <c r="G561" s="59"/>
      <c r="H561" s="59"/>
      <c r="I561" s="59"/>
      <c r="J561" s="86"/>
      <c r="K561" s="59"/>
      <c r="L561" s="59"/>
      <c r="M561" s="59"/>
      <c r="N561" s="59"/>
      <c r="O561" s="59"/>
    </row>
    <row r="562" spans="1:15" x14ac:dyDescent="0.25">
      <c r="A562" s="59"/>
      <c r="B562" s="59"/>
      <c r="F562" s="59"/>
      <c r="G562" s="59"/>
      <c r="H562" s="59"/>
      <c r="I562" s="59"/>
      <c r="J562" s="86"/>
      <c r="K562" s="59"/>
      <c r="L562" s="59"/>
      <c r="M562" s="59"/>
      <c r="N562" s="59"/>
      <c r="O562" s="59"/>
    </row>
    <row r="563" spans="1:15" x14ac:dyDescent="0.25">
      <c r="A563" s="59"/>
      <c r="B563" s="59"/>
      <c r="F563" s="59"/>
      <c r="G563" s="59"/>
      <c r="H563" s="59"/>
      <c r="I563" s="59"/>
      <c r="J563" s="86"/>
      <c r="K563" s="59"/>
      <c r="L563" s="59"/>
      <c r="M563" s="59"/>
      <c r="N563" s="59"/>
      <c r="O563" s="59"/>
    </row>
    <row r="564" spans="1:15" x14ac:dyDescent="0.25">
      <c r="A564" s="59"/>
      <c r="B564" s="59"/>
      <c r="F564" s="59"/>
      <c r="G564" s="59"/>
      <c r="H564" s="59"/>
      <c r="I564" s="59"/>
      <c r="J564" s="86"/>
      <c r="K564" s="59"/>
      <c r="L564" s="59"/>
      <c r="M564" s="59"/>
      <c r="N564" s="59"/>
      <c r="O564" s="59"/>
    </row>
    <row r="565" spans="1:15" x14ac:dyDescent="0.25">
      <c r="A565" s="59"/>
      <c r="B565" s="59"/>
      <c r="F565" s="59"/>
      <c r="G565" s="59"/>
      <c r="H565" s="59"/>
      <c r="I565" s="59"/>
      <c r="J565" s="86"/>
      <c r="K565" s="59"/>
      <c r="L565" s="59"/>
      <c r="M565" s="59"/>
      <c r="N565" s="59"/>
      <c r="O565" s="59"/>
    </row>
    <row r="566" spans="1:15" x14ac:dyDescent="0.25">
      <c r="A566" s="59"/>
      <c r="B566" s="59"/>
      <c r="F566" s="59"/>
      <c r="G566" s="59"/>
      <c r="H566" s="59"/>
      <c r="I566" s="59"/>
      <c r="J566" s="86"/>
      <c r="K566" s="59"/>
      <c r="L566" s="59"/>
      <c r="M566" s="59"/>
      <c r="N566" s="59"/>
      <c r="O566" s="59"/>
    </row>
    <row r="567" spans="1:15" x14ac:dyDescent="0.25">
      <c r="A567" s="59"/>
      <c r="B567" s="59"/>
      <c r="F567" s="59"/>
      <c r="G567" s="59"/>
      <c r="H567" s="59"/>
      <c r="I567" s="59"/>
      <c r="J567" s="86"/>
      <c r="K567" s="59"/>
      <c r="L567" s="59"/>
      <c r="M567" s="59"/>
      <c r="N567" s="59"/>
      <c r="O567" s="59"/>
    </row>
    <row r="568" spans="1:15" x14ac:dyDescent="0.25">
      <c r="A568" s="59"/>
      <c r="B568" s="59"/>
      <c r="F568" s="59"/>
      <c r="G568" s="59"/>
      <c r="H568" s="59"/>
      <c r="I568" s="59"/>
      <c r="J568" s="86"/>
      <c r="K568" s="59"/>
      <c r="L568" s="59"/>
      <c r="M568" s="59"/>
      <c r="N568" s="59"/>
      <c r="O568" s="59"/>
    </row>
    <row r="569" spans="1:15" x14ac:dyDescent="0.25">
      <c r="A569" s="59"/>
      <c r="B569" s="59"/>
      <c r="F569" s="59"/>
      <c r="G569" s="59"/>
      <c r="H569" s="59"/>
      <c r="I569" s="59"/>
      <c r="J569" s="86"/>
      <c r="K569" s="59"/>
      <c r="L569" s="59"/>
      <c r="M569" s="59"/>
      <c r="N569" s="59"/>
      <c r="O569" s="59"/>
    </row>
    <row r="570" spans="1:15" x14ac:dyDescent="0.25">
      <c r="A570" s="59"/>
      <c r="B570" s="59"/>
      <c r="F570" s="59"/>
      <c r="G570" s="59"/>
      <c r="H570" s="59"/>
      <c r="I570" s="59"/>
      <c r="J570" s="86"/>
      <c r="K570" s="59"/>
      <c r="L570" s="59"/>
      <c r="M570" s="59"/>
      <c r="N570" s="59"/>
      <c r="O570" s="59"/>
    </row>
    <row r="571" spans="1:15" x14ac:dyDescent="0.25">
      <c r="A571" s="59"/>
      <c r="B571" s="59"/>
      <c r="F571" s="59"/>
      <c r="G571" s="59"/>
      <c r="H571" s="59"/>
      <c r="I571" s="59"/>
      <c r="J571" s="86"/>
      <c r="K571" s="59"/>
      <c r="L571" s="59"/>
      <c r="M571" s="59"/>
      <c r="N571" s="59"/>
      <c r="O571" s="59"/>
    </row>
    <row r="572" spans="1:15" x14ac:dyDescent="0.25">
      <c r="A572" s="59"/>
      <c r="B572" s="59"/>
      <c r="F572" s="59"/>
      <c r="G572" s="59"/>
      <c r="H572" s="59"/>
      <c r="I572" s="59"/>
      <c r="J572" s="86"/>
      <c r="K572" s="59"/>
      <c r="L572" s="59"/>
      <c r="M572" s="59"/>
      <c r="N572" s="59"/>
      <c r="O572" s="59"/>
    </row>
    <row r="573" spans="1:15" x14ac:dyDescent="0.25">
      <c r="A573" s="59"/>
      <c r="B573" s="59"/>
      <c r="F573" s="59"/>
      <c r="G573" s="59"/>
      <c r="H573" s="59"/>
      <c r="I573" s="59"/>
      <c r="J573" s="86"/>
      <c r="K573" s="59"/>
      <c r="L573" s="59"/>
      <c r="M573" s="59"/>
      <c r="N573" s="59"/>
      <c r="O573" s="59"/>
    </row>
    <row r="574" spans="1:15" x14ac:dyDescent="0.25">
      <c r="A574" s="59"/>
      <c r="B574" s="59"/>
      <c r="F574" s="59"/>
      <c r="G574" s="59"/>
      <c r="H574" s="59"/>
      <c r="I574" s="59"/>
      <c r="J574" s="86"/>
      <c r="K574" s="59"/>
      <c r="L574" s="59"/>
      <c r="M574" s="59"/>
      <c r="N574" s="59"/>
      <c r="O574" s="59"/>
    </row>
    <row r="575" spans="1:15" x14ac:dyDescent="0.25">
      <c r="A575" s="59"/>
      <c r="B575" s="59"/>
      <c r="F575" s="59"/>
      <c r="G575" s="59"/>
      <c r="H575" s="59"/>
      <c r="I575" s="59"/>
      <c r="J575" s="86"/>
      <c r="K575" s="59"/>
      <c r="L575" s="59"/>
      <c r="M575" s="59"/>
      <c r="N575" s="59"/>
      <c r="O575" s="59"/>
    </row>
    <row r="576" spans="1:15" x14ac:dyDescent="0.25">
      <c r="A576" s="59"/>
      <c r="B576" s="59"/>
      <c r="F576" s="59"/>
      <c r="G576" s="59"/>
      <c r="H576" s="59"/>
      <c r="I576" s="59"/>
      <c r="J576" s="86"/>
      <c r="K576" s="59"/>
      <c r="L576" s="59"/>
      <c r="M576" s="59"/>
      <c r="N576" s="59"/>
      <c r="O576" s="59"/>
    </row>
    <row r="577" spans="1:15" x14ac:dyDescent="0.25">
      <c r="A577" s="59"/>
      <c r="B577" s="59"/>
      <c r="F577" s="59"/>
      <c r="G577" s="59"/>
      <c r="H577" s="59"/>
      <c r="I577" s="59"/>
      <c r="J577" s="86"/>
      <c r="K577" s="59"/>
      <c r="L577" s="59"/>
      <c r="M577" s="59"/>
      <c r="N577" s="59"/>
      <c r="O577" s="59"/>
    </row>
    <row r="578" spans="1:15" x14ac:dyDescent="0.25">
      <c r="A578" s="59"/>
      <c r="B578" s="59"/>
      <c r="F578" s="59"/>
      <c r="G578" s="59"/>
      <c r="H578" s="59"/>
      <c r="I578" s="59"/>
      <c r="J578" s="86"/>
      <c r="K578" s="59"/>
      <c r="L578" s="59"/>
      <c r="M578" s="59"/>
      <c r="N578" s="59"/>
      <c r="O578" s="59"/>
    </row>
    <row r="579" spans="1:15" x14ac:dyDescent="0.25">
      <c r="A579" s="59"/>
      <c r="B579" s="59"/>
      <c r="F579" s="59"/>
      <c r="G579" s="59"/>
      <c r="H579" s="59"/>
      <c r="I579" s="59"/>
      <c r="J579" s="86"/>
      <c r="K579" s="59"/>
      <c r="L579" s="59"/>
      <c r="M579" s="59"/>
      <c r="N579" s="59"/>
      <c r="O579" s="59"/>
    </row>
    <row r="580" spans="1:15" x14ac:dyDescent="0.25">
      <c r="A580" s="59"/>
      <c r="B580" s="59"/>
      <c r="F580" s="59"/>
      <c r="G580" s="59"/>
      <c r="H580" s="59"/>
      <c r="I580" s="59"/>
      <c r="J580" s="86"/>
      <c r="K580" s="59"/>
      <c r="L580" s="59"/>
      <c r="M580" s="59"/>
      <c r="N580" s="59"/>
      <c r="O580" s="59"/>
    </row>
    <row r="581" spans="1:15" x14ac:dyDescent="0.25">
      <c r="A581" s="59"/>
      <c r="B581" s="59"/>
      <c r="F581" s="59"/>
      <c r="G581" s="59"/>
      <c r="H581" s="59"/>
      <c r="I581" s="59"/>
      <c r="J581" s="86"/>
      <c r="K581" s="59"/>
      <c r="L581" s="59"/>
      <c r="M581" s="59"/>
      <c r="N581" s="59"/>
      <c r="O581" s="59"/>
    </row>
    <row r="582" spans="1:15" x14ac:dyDescent="0.25">
      <c r="A582" s="59"/>
      <c r="B582" s="59"/>
      <c r="F582" s="59"/>
      <c r="G582" s="59"/>
      <c r="H582" s="59"/>
      <c r="I582" s="59"/>
      <c r="J582" s="86"/>
      <c r="K582" s="59"/>
      <c r="L582" s="59"/>
      <c r="M582" s="59"/>
      <c r="N582" s="59"/>
      <c r="O582" s="59"/>
    </row>
    <row r="583" spans="1:15" x14ac:dyDescent="0.25">
      <c r="A583" s="59"/>
      <c r="B583" s="59"/>
      <c r="F583" s="59"/>
      <c r="G583" s="59"/>
      <c r="H583" s="59"/>
      <c r="I583" s="59"/>
      <c r="J583" s="86"/>
      <c r="K583" s="59"/>
      <c r="L583" s="59"/>
      <c r="M583" s="59"/>
      <c r="N583" s="59"/>
      <c r="O583" s="59"/>
    </row>
    <row r="584" spans="1:15" x14ac:dyDescent="0.25">
      <c r="A584" s="59"/>
      <c r="B584" s="59"/>
      <c r="F584" s="59"/>
      <c r="G584" s="59"/>
      <c r="H584" s="59"/>
      <c r="I584" s="59"/>
      <c r="J584" s="86"/>
      <c r="K584" s="59"/>
      <c r="L584" s="59"/>
      <c r="M584" s="59"/>
      <c r="N584" s="59"/>
      <c r="O584" s="59"/>
    </row>
    <row r="585" spans="1:15" x14ac:dyDescent="0.25">
      <c r="A585" s="59"/>
      <c r="B585" s="59"/>
      <c r="F585" s="59"/>
      <c r="G585" s="59"/>
      <c r="H585" s="59"/>
      <c r="I585" s="59"/>
      <c r="J585" s="86"/>
      <c r="K585" s="59"/>
      <c r="L585" s="59"/>
      <c r="M585" s="59"/>
      <c r="N585" s="59"/>
      <c r="O585" s="59"/>
    </row>
    <row r="586" spans="1:15" x14ac:dyDescent="0.25">
      <c r="A586" s="59"/>
      <c r="B586" s="59"/>
      <c r="F586" s="59"/>
      <c r="G586" s="59"/>
      <c r="H586" s="59"/>
      <c r="I586" s="59"/>
      <c r="J586" s="86"/>
      <c r="K586" s="59"/>
      <c r="L586" s="59"/>
      <c r="M586" s="59"/>
      <c r="N586" s="59"/>
      <c r="O586" s="59"/>
    </row>
    <row r="587" spans="1:15" x14ac:dyDescent="0.25">
      <c r="A587" s="59"/>
      <c r="B587" s="59"/>
      <c r="F587" s="59"/>
      <c r="G587" s="59"/>
      <c r="H587" s="59"/>
      <c r="I587" s="59"/>
      <c r="J587" s="86"/>
      <c r="K587" s="59"/>
      <c r="L587" s="59"/>
      <c r="M587" s="59"/>
      <c r="N587" s="59"/>
      <c r="O587" s="59"/>
    </row>
    <row r="588" spans="1:15" x14ac:dyDescent="0.25">
      <c r="A588" s="59"/>
      <c r="B588" s="59"/>
      <c r="F588" s="59"/>
      <c r="G588" s="59"/>
      <c r="H588" s="59"/>
      <c r="I588" s="59"/>
      <c r="J588" s="86"/>
      <c r="K588" s="59"/>
      <c r="L588" s="59"/>
      <c r="M588" s="59"/>
      <c r="N588" s="59"/>
      <c r="O588" s="59"/>
    </row>
    <row r="589" spans="1:15" x14ac:dyDescent="0.25">
      <c r="A589" s="59"/>
      <c r="B589" s="59"/>
      <c r="F589" s="59"/>
      <c r="G589" s="59"/>
      <c r="H589" s="59"/>
      <c r="I589" s="59"/>
      <c r="J589" s="86"/>
      <c r="K589" s="59"/>
      <c r="L589" s="59"/>
      <c r="M589" s="59"/>
      <c r="N589" s="59"/>
      <c r="O589" s="59"/>
    </row>
    <row r="590" spans="1:15" x14ac:dyDescent="0.25">
      <c r="A590" s="59"/>
      <c r="B590" s="59"/>
      <c r="F590" s="59"/>
      <c r="G590" s="59"/>
      <c r="H590" s="59"/>
      <c r="I590" s="59"/>
      <c r="J590" s="86"/>
      <c r="K590" s="59"/>
      <c r="L590" s="59"/>
      <c r="M590" s="59"/>
      <c r="N590" s="59"/>
      <c r="O590" s="59"/>
    </row>
    <row r="591" spans="1:15" x14ac:dyDescent="0.25">
      <c r="A591" s="59"/>
      <c r="B591" s="59"/>
      <c r="F591" s="59"/>
      <c r="G591" s="59"/>
      <c r="H591" s="59"/>
      <c r="I591" s="59"/>
      <c r="J591" s="86"/>
      <c r="K591" s="59"/>
      <c r="L591" s="59"/>
      <c r="M591" s="59"/>
      <c r="N591" s="59"/>
      <c r="O591" s="59"/>
    </row>
    <row r="592" spans="1:15" x14ac:dyDescent="0.25">
      <c r="A592" s="59"/>
      <c r="B592" s="59"/>
      <c r="F592" s="59"/>
      <c r="G592" s="59"/>
      <c r="H592" s="59"/>
      <c r="I592" s="59"/>
      <c r="J592" s="86"/>
      <c r="K592" s="59"/>
      <c r="L592" s="59"/>
      <c r="M592" s="59"/>
      <c r="N592" s="59"/>
      <c r="O592" s="59"/>
    </row>
    <row r="593" spans="1:15" x14ac:dyDescent="0.25">
      <c r="A593" s="59"/>
      <c r="B593" s="59"/>
      <c r="F593" s="59"/>
      <c r="G593" s="59"/>
      <c r="H593" s="59"/>
      <c r="I593" s="59"/>
      <c r="J593" s="86"/>
      <c r="K593" s="59"/>
      <c r="L593" s="59"/>
      <c r="M593" s="59"/>
      <c r="N593" s="59"/>
      <c r="O593" s="59"/>
    </row>
    <row r="594" spans="1:15" x14ac:dyDescent="0.25">
      <c r="A594" s="59"/>
      <c r="B594" s="59"/>
      <c r="F594" s="59"/>
      <c r="G594" s="59"/>
      <c r="H594" s="59"/>
      <c r="I594" s="59"/>
      <c r="J594" s="86"/>
      <c r="K594" s="59"/>
      <c r="L594" s="59"/>
      <c r="M594" s="59"/>
      <c r="N594" s="59"/>
      <c r="O594" s="59"/>
    </row>
    <row r="595" spans="1:15" x14ac:dyDescent="0.25">
      <c r="A595" s="59"/>
      <c r="B595" s="59"/>
      <c r="F595" s="59"/>
      <c r="G595" s="59"/>
      <c r="H595" s="59"/>
      <c r="I595" s="59"/>
      <c r="J595" s="86"/>
      <c r="K595" s="59"/>
      <c r="L595" s="59"/>
      <c r="M595" s="59"/>
      <c r="N595" s="59"/>
      <c r="O595" s="59"/>
    </row>
    <row r="596" spans="1:15" x14ac:dyDescent="0.25">
      <c r="A596" s="59"/>
      <c r="B596" s="59"/>
      <c r="F596" s="59"/>
      <c r="G596" s="59"/>
      <c r="H596" s="59"/>
      <c r="I596" s="59"/>
      <c r="J596" s="86"/>
      <c r="K596" s="59"/>
      <c r="L596" s="59"/>
      <c r="M596" s="59"/>
      <c r="N596" s="59"/>
      <c r="O596" s="59"/>
    </row>
    <row r="597" spans="1:15" x14ac:dyDescent="0.25">
      <c r="A597" s="59"/>
      <c r="B597" s="59"/>
      <c r="F597" s="59"/>
      <c r="G597" s="59"/>
      <c r="H597" s="59"/>
      <c r="I597" s="59"/>
      <c r="J597" s="86"/>
      <c r="K597" s="59"/>
      <c r="L597" s="59"/>
      <c r="M597" s="59"/>
      <c r="N597" s="59"/>
      <c r="O597" s="59"/>
    </row>
    <row r="598" spans="1:15" x14ac:dyDescent="0.25">
      <c r="A598" s="59"/>
      <c r="B598" s="59"/>
      <c r="F598" s="59"/>
      <c r="G598" s="59"/>
      <c r="H598" s="59"/>
      <c r="I598" s="59"/>
      <c r="J598" s="86"/>
      <c r="K598" s="59"/>
      <c r="L598" s="59"/>
      <c r="M598" s="59"/>
      <c r="N598" s="59"/>
      <c r="O598" s="59"/>
    </row>
    <row r="599" spans="1:15" x14ac:dyDescent="0.25">
      <c r="A599" s="59"/>
      <c r="B599" s="59"/>
      <c r="F599" s="59"/>
      <c r="G599" s="59"/>
      <c r="H599" s="59"/>
      <c r="I599" s="59"/>
      <c r="J599" s="86"/>
      <c r="K599" s="59"/>
      <c r="L599" s="59"/>
      <c r="M599" s="59"/>
      <c r="N599" s="59"/>
      <c r="O599" s="59"/>
    </row>
    <row r="600" spans="1:15" x14ac:dyDescent="0.25">
      <c r="A600" s="59"/>
      <c r="B600" s="59"/>
      <c r="F600" s="59"/>
      <c r="G600" s="59"/>
      <c r="H600" s="59"/>
      <c r="I600" s="59"/>
      <c r="J600" s="86"/>
      <c r="K600" s="59"/>
      <c r="L600" s="59"/>
      <c r="M600" s="59"/>
      <c r="N600" s="59"/>
      <c r="O600" s="59"/>
    </row>
    <row r="601" spans="1:15" x14ac:dyDescent="0.25">
      <c r="A601" s="59"/>
      <c r="B601" s="59"/>
      <c r="F601" s="59"/>
      <c r="G601" s="59"/>
      <c r="H601" s="59"/>
      <c r="I601" s="59"/>
      <c r="J601" s="86"/>
      <c r="K601" s="59"/>
      <c r="L601" s="59"/>
      <c r="M601" s="59"/>
      <c r="N601" s="59"/>
      <c r="O601" s="59"/>
    </row>
    <row r="602" spans="1:15" x14ac:dyDescent="0.25">
      <c r="A602" s="59"/>
      <c r="B602" s="59"/>
      <c r="F602" s="59"/>
      <c r="G602" s="59"/>
      <c r="H602" s="59"/>
      <c r="I602" s="59"/>
      <c r="J602" s="86"/>
      <c r="K602" s="59"/>
      <c r="L602" s="59"/>
      <c r="M602" s="59"/>
      <c r="N602" s="59"/>
      <c r="O602" s="59"/>
    </row>
    <row r="603" spans="1:15" x14ac:dyDescent="0.25">
      <c r="A603" s="59"/>
      <c r="B603" s="59"/>
      <c r="F603" s="59"/>
      <c r="G603" s="59"/>
      <c r="H603" s="59"/>
      <c r="I603" s="59"/>
      <c r="J603" s="86"/>
      <c r="K603" s="59"/>
      <c r="L603" s="59"/>
      <c r="M603" s="59"/>
      <c r="N603" s="59"/>
      <c r="O603" s="59"/>
    </row>
    <row r="604" spans="1:15" x14ac:dyDescent="0.25">
      <c r="A604" s="59"/>
      <c r="B604" s="59"/>
      <c r="F604" s="59"/>
      <c r="G604" s="59"/>
      <c r="H604" s="59"/>
      <c r="I604" s="59"/>
      <c r="J604" s="86"/>
      <c r="K604" s="59"/>
      <c r="L604" s="59"/>
      <c r="M604" s="59"/>
      <c r="N604" s="59"/>
      <c r="O604" s="59"/>
    </row>
    <row r="605" spans="1:15" x14ac:dyDescent="0.25">
      <c r="A605" s="59"/>
      <c r="B605" s="59"/>
      <c r="F605" s="59"/>
      <c r="G605" s="59"/>
      <c r="H605" s="59"/>
      <c r="I605" s="59"/>
      <c r="J605" s="86"/>
      <c r="K605" s="59"/>
      <c r="L605" s="59"/>
      <c r="M605" s="59"/>
      <c r="N605" s="59"/>
      <c r="O605" s="59"/>
    </row>
    <row r="606" spans="1:15" x14ac:dyDescent="0.25">
      <c r="A606" s="59"/>
      <c r="B606" s="59"/>
      <c r="F606" s="59"/>
      <c r="G606" s="59"/>
      <c r="H606" s="59"/>
      <c r="I606" s="59"/>
      <c r="J606" s="86"/>
      <c r="K606" s="59"/>
      <c r="L606" s="59"/>
      <c r="M606" s="59"/>
      <c r="N606" s="59"/>
      <c r="O606" s="59"/>
    </row>
    <row r="607" spans="1:15" x14ac:dyDescent="0.25">
      <c r="A607" s="59"/>
      <c r="B607" s="59"/>
      <c r="F607" s="59"/>
      <c r="G607" s="59"/>
      <c r="H607" s="59"/>
      <c r="I607" s="59"/>
      <c r="J607" s="86"/>
      <c r="K607" s="59"/>
      <c r="L607" s="59"/>
      <c r="M607" s="59"/>
      <c r="N607" s="59"/>
      <c r="O607" s="59"/>
    </row>
    <row r="608" spans="1:15" x14ac:dyDescent="0.25">
      <c r="A608" s="59"/>
      <c r="B608" s="59"/>
      <c r="F608" s="59"/>
      <c r="G608" s="59"/>
      <c r="H608" s="59"/>
      <c r="I608" s="59"/>
      <c r="J608" s="86"/>
      <c r="K608" s="59"/>
      <c r="L608" s="59"/>
      <c r="M608" s="59"/>
      <c r="N608" s="59"/>
      <c r="O608" s="59"/>
    </row>
    <row r="609" spans="1:15" x14ac:dyDescent="0.25">
      <c r="A609" s="59"/>
      <c r="B609" s="59"/>
      <c r="F609" s="59"/>
      <c r="G609" s="59"/>
      <c r="H609" s="59"/>
      <c r="I609" s="59"/>
      <c r="J609" s="86"/>
      <c r="K609" s="59"/>
      <c r="L609" s="59"/>
      <c r="M609" s="59"/>
      <c r="N609" s="59"/>
      <c r="O609" s="59"/>
    </row>
    <row r="610" spans="1:15" x14ac:dyDescent="0.25">
      <c r="A610" s="59"/>
      <c r="B610" s="59"/>
      <c r="F610" s="59"/>
      <c r="G610" s="59"/>
      <c r="H610" s="59"/>
      <c r="I610" s="59"/>
      <c r="J610" s="86"/>
      <c r="K610" s="59"/>
      <c r="L610" s="59"/>
      <c r="M610" s="59"/>
      <c r="N610" s="59"/>
      <c r="O610" s="59"/>
    </row>
    <row r="611" spans="1:15" x14ac:dyDescent="0.25">
      <c r="A611" s="59"/>
      <c r="B611" s="59"/>
      <c r="F611" s="59"/>
      <c r="G611" s="59"/>
      <c r="H611" s="59"/>
      <c r="I611" s="59"/>
      <c r="J611" s="86"/>
      <c r="K611" s="59"/>
      <c r="L611" s="59"/>
      <c r="M611" s="59"/>
      <c r="N611" s="59"/>
      <c r="O611" s="59"/>
    </row>
    <row r="612" spans="1:15" x14ac:dyDescent="0.25">
      <c r="A612" s="59"/>
      <c r="B612" s="59"/>
      <c r="F612" s="59"/>
      <c r="G612" s="59"/>
      <c r="H612" s="59"/>
      <c r="I612" s="59"/>
      <c r="J612" s="86"/>
      <c r="K612" s="59"/>
      <c r="L612" s="59"/>
      <c r="M612" s="59"/>
      <c r="N612" s="59"/>
      <c r="O612" s="59"/>
    </row>
    <row r="613" spans="1:15" x14ac:dyDescent="0.25">
      <c r="A613" s="59"/>
      <c r="B613" s="59"/>
      <c r="F613" s="59"/>
      <c r="G613" s="59"/>
      <c r="H613" s="59"/>
      <c r="I613" s="59"/>
      <c r="J613" s="86"/>
      <c r="K613" s="59"/>
      <c r="L613" s="59"/>
      <c r="M613" s="59"/>
      <c r="N613" s="59"/>
      <c r="O613" s="59"/>
    </row>
    <row r="614" spans="1:15" x14ac:dyDescent="0.25">
      <c r="A614" s="59"/>
      <c r="B614" s="59"/>
      <c r="F614" s="59"/>
      <c r="G614" s="59"/>
      <c r="H614" s="59"/>
      <c r="I614" s="59"/>
      <c r="J614" s="86"/>
      <c r="K614" s="59"/>
      <c r="L614" s="59"/>
      <c r="M614" s="59"/>
      <c r="N614" s="59"/>
      <c r="O614" s="59"/>
    </row>
    <row r="615" spans="1:15" x14ac:dyDescent="0.25">
      <c r="A615" s="59"/>
      <c r="B615" s="59"/>
      <c r="F615" s="59"/>
      <c r="G615" s="59"/>
      <c r="H615" s="59"/>
      <c r="I615" s="59"/>
      <c r="J615" s="86"/>
      <c r="K615" s="59"/>
      <c r="L615" s="59"/>
      <c r="M615" s="59"/>
      <c r="N615" s="59"/>
      <c r="O615" s="59"/>
    </row>
    <row r="616" spans="1:15" x14ac:dyDescent="0.25">
      <c r="A616" s="59"/>
      <c r="B616" s="59"/>
      <c r="F616" s="59"/>
      <c r="G616" s="59"/>
      <c r="H616" s="59"/>
      <c r="I616" s="59"/>
      <c r="J616" s="86"/>
      <c r="K616" s="59"/>
      <c r="L616" s="59"/>
      <c r="M616" s="59"/>
      <c r="N616" s="59"/>
      <c r="O616" s="59"/>
    </row>
    <row r="617" spans="1:15" x14ac:dyDescent="0.25">
      <c r="A617" s="59"/>
      <c r="B617" s="59"/>
      <c r="F617" s="59"/>
      <c r="G617" s="59"/>
      <c r="H617" s="59"/>
      <c r="I617" s="59"/>
      <c r="J617" s="86"/>
      <c r="K617" s="59"/>
      <c r="L617" s="59"/>
      <c r="M617" s="59"/>
      <c r="N617" s="59"/>
      <c r="O617" s="59"/>
    </row>
    <row r="618" spans="1:15" x14ac:dyDescent="0.25">
      <c r="A618" s="59"/>
      <c r="B618" s="59"/>
      <c r="F618" s="59"/>
      <c r="G618" s="59"/>
      <c r="H618" s="59"/>
      <c r="I618" s="59"/>
      <c r="J618" s="86"/>
      <c r="K618" s="59"/>
      <c r="L618" s="59"/>
      <c r="M618" s="59"/>
      <c r="N618" s="59"/>
      <c r="O618" s="59"/>
    </row>
    <row r="619" spans="1:15" x14ac:dyDescent="0.25">
      <c r="A619" s="59"/>
      <c r="B619" s="59"/>
      <c r="F619" s="59"/>
      <c r="G619" s="59"/>
      <c r="H619" s="59"/>
      <c r="I619" s="59"/>
      <c r="J619" s="86"/>
      <c r="K619" s="59"/>
      <c r="L619" s="59"/>
      <c r="M619" s="59"/>
      <c r="N619" s="59"/>
      <c r="O619" s="59"/>
    </row>
    <row r="620" spans="1:15" x14ac:dyDescent="0.25">
      <c r="A620" s="59"/>
      <c r="B620" s="59"/>
      <c r="F620" s="59"/>
      <c r="G620" s="59"/>
      <c r="H620" s="59"/>
      <c r="I620" s="59"/>
      <c r="J620" s="86"/>
      <c r="K620" s="59"/>
      <c r="L620" s="59"/>
      <c r="M620" s="59"/>
      <c r="N620" s="59"/>
      <c r="O620" s="59"/>
    </row>
    <row r="621" spans="1:15" x14ac:dyDescent="0.25">
      <c r="A621" s="59"/>
      <c r="B621" s="59"/>
      <c r="F621" s="59"/>
      <c r="G621" s="59"/>
      <c r="H621" s="59"/>
      <c r="I621" s="59"/>
      <c r="J621" s="86"/>
      <c r="K621" s="59"/>
      <c r="L621" s="59"/>
      <c r="M621" s="59"/>
      <c r="N621" s="59"/>
      <c r="O621" s="59"/>
    </row>
    <row r="622" spans="1:15" x14ac:dyDescent="0.25">
      <c r="A622" s="59"/>
      <c r="B622" s="59"/>
      <c r="F622" s="59"/>
      <c r="G622" s="59"/>
      <c r="H622" s="59"/>
      <c r="I622" s="59"/>
      <c r="J622" s="86"/>
      <c r="K622" s="59"/>
      <c r="L622" s="59"/>
      <c r="M622" s="59"/>
      <c r="N622" s="59"/>
      <c r="O622" s="59"/>
    </row>
    <row r="623" spans="1:15" x14ac:dyDescent="0.25">
      <c r="A623" s="59"/>
      <c r="B623" s="59"/>
      <c r="F623" s="59"/>
      <c r="G623" s="59"/>
      <c r="H623" s="59"/>
      <c r="I623" s="59"/>
      <c r="J623" s="86"/>
      <c r="K623" s="59"/>
      <c r="L623" s="59"/>
      <c r="M623" s="59"/>
      <c r="N623" s="59"/>
      <c r="O623" s="59"/>
    </row>
    <row r="624" spans="1:15" x14ac:dyDescent="0.25">
      <c r="A624" s="59"/>
      <c r="B624" s="59"/>
      <c r="F624" s="59"/>
      <c r="G624" s="59"/>
      <c r="H624" s="59"/>
      <c r="I624" s="59"/>
      <c r="J624" s="86"/>
      <c r="K624" s="59"/>
      <c r="L624" s="59"/>
      <c r="M624" s="59"/>
      <c r="N624" s="59"/>
      <c r="O624" s="59"/>
    </row>
    <row r="625" spans="1:15" x14ac:dyDescent="0.25">
      <c r="A625" s="59"/>
      <c r="B625" s="59"/>
      <c r="F625" s="59"/>
      <c r="G625" s="59"/>
      <c r="H625" s="59"/>
      <c r="I625" s="59"/>
      <c r="J625" s="86"/>
      <c r="K625" s="59"/>
      <c r="L625" s="59"/>
      <c r="M625" s="59"/>
      <c r="N625" s="59"/>
      <c r="O625" s="59"/>
    </row>
    <row r="626" spans="1:15" x14ac:dyDescent="0.25">
      <c r="A626" s="59"/>
      <c r="B626" s="59"/>
      <c r="F626" s="59"/>
      <c r="G626" s="59"/>
      <c r="H626" s="59"/>
      <c r="I626" s="59"/>
      <c r="J626" s="86"/>
      <c r="K626" s="59"/>
      <c r="L626" s="59"/>
      <c r="M626" s="59"/>
      <c r="N626" s="59"/>
      <c r="O626" s="59"/>
    </row>
    <row r="627" spans="1:15" x14ac:dyDescent="0.25">
      <c r="A627" s="59"/>
      <c r="B627" s="59"/>
      <c r="F627" s="59"/>
      <c r="G627" s="59"/>
      <c r="H627" s="59"/>
      <c r="I627" s="59"/>
      <c r="J627" s="86"/>
      <c r="K627" s="59"/>
      <c r="L627" s="59"/>
      <c r="M627" s="59"/>
      <c r="N627" s="59"/>
      <c r="O627" s="59"/>
    </row>
    <row r="628" spans="1:15" x14ac:dyDescent="0.25">
      <c r="A628" s="59"/>
      <c r="B628" s="59"/>
      <c r="F628" s="59"/>
      <c r="G628" s="59"/>
      <c r="H628" s="59"/>
      <c r="I628" s="59"/>
      <c r="J628" s="86"/>
      <c r="K628" s="59"/>
      <c r="L628" s="59"/>
      <c r="M628" s="59"/>
      <c r="N628" s="59"/>
      <c r="O628" s="59"/>
    </row>
    <row r="629" spans="1:15" x14ac:dyDescent="0.25">
      <c r="A629" s="59"/>
      <c r="B629" s="59"/>
      <c r="F629" s="59"/>
      <c r="G629" s="59"/>
      <c r="H629" s="59"/>
      <c r="I629" s="59"/>
      <c r="J629" s="86"/>
      <c r="K629" s="59"/>
      <c r="L629" s="59"/>
      <c r="M629" s="59"/>
      <c r="N629" s="59"/>
      <c r="O629" s="59"/>
    </row>
    <row r="630" spans="1:15" x14ac:dyDescent="0.25">
      <c r="A630" s="59"/>
      <c r="B630" s="59"/>
      <c r="F630" s="59"/>
      <c r="G630" s="59"/>
      <c r="H630" s="59"/>
      <c r="I630" s="59"/>
      <c r="J630" s="86"/>
      <c r="K630" s="59"/>
      <c r="L630" s="59"/>
      <c r="M630" s="59"/>
      <c r="N630" s="59"/>
      <c r="O630" s="59"/>
    </row>
    <row r="631" spans="1:15" x14ac:dyDescent="0.25">
      <c r="A631" s="59"/>
      <c r="B631" s="59"/>
      <c r="F631" s="59"/>
      <c r="G631" s="59"/>
      <c r="H631" s="59"/>
      <c r="I631" s="59"/>
      <c r="J631" s="86"/>
      <c r="K631" s="59"/>
      <c r="L631" s="59"/>
      <c r="M631" s="59"/>
      <c r="N631" s="59"/>
      <c r="O631" s="59"/>
    </row>
    <row r="632" spans="1:15" x14ac:dyDescent="0.25">
      <c r="A632" s="59"/>
      <c r="B632" s="59"/>
      <c r="F632" s="59"/>
      <c r="G632" s="59"/>
      <c r="H632" s="59"/>
      <c r="I632" s="59"/>
      <c r="J632" s="86"/>
      <c r="K632" s="59"/>
      <c r="L632" s="59"/>
      <c r="M632" s="59"/>
      <c r="N632" s="59"/>
      <c r="O632" s="59"/>
    </row>
    <row r="633" spans="1:15" x14ac:dyDescent="0.25">
      <c r="A633" s="59"/>
      <c r="B633" s="59"/>
      <c r="F633" s="59"/>
      <c r="G633" s="59"/>
      <c r="H633" s="59"/>
      <c r="I633" s="59"/>
      <c r="J633" s="86"/>
      <c r="K633" s="59"/>
      <c r="L633" s="59"/>
      <c r="M633" s="59"/>
      <c r="N633" s="59"/>
      <c r="O633" s="59"/>
    </row>
    <row r="634" spans="1:15" x14ac:dyDescent="0.25">
      <c r="A634" s="59"/>
      <c r="B634" s="59"/>
      <c r="F634" s="59"/>
      <c r="G634" s="59"/>
      <c r="H634" s="59"/>
      <c r="I634" s="59"/>
      <c r="J634" s="86"/>
      <c r="K634" s="59"/>
      <c r="L634" s="59"/>
      <c r="M634" s="59"/>
      <c r="N634" s="59"/>
      <c r="O634" s="59"/>
    </row>
    <row r="635" spans="1:15" x14ac:dyDescent="0.25">
      <c r="A635" s="59"/>
      <c r="B635" s="59"/>
      <c r="F635" s="59"/>
      <c r="G635" s="59"/>
      <c r="H635" s="59"/>
      <c r="I635" s="59"/>
      <c r="J635" s="86"/>
      <c r="K635" s="59"/>
      <c r="L635" s="59"/>
      <c r="M635" s="59"/>
      <c r="N635" s="59"/>
      <c r="O635" s="59"/>
    </row>
    <row r="636" spans="1:15" x14ac:dyDescent="0.25">
      <c r="A636" s="59"/>
      <c r="B636" s="59"/>
      <c r="F636" s="59"/>
      <c r="G636" s="59"/>
      <c r="H636" s="59"/>
      <c r="I636" s="59"/>
      <c r="J636" s="86"/>
      <c r="K636" s="59"/>
      <c r="L636" s="59"/>
      <c r="M636" s="59"/>
      <c r="N636" s="59"/>
      <c r="O636" s="59"/>
    </row>
    <row r="637" spans="1:15" x14ac:dyDescent="0.25">
      <c r="A637" s="59"/>
      <c r="B637" s="59"/>
      <c r="F637" s="59"/>
      <c r="G637" s="59"/>
      <c r="H637" s="59"/>
      <c r="I637" s="59"/>
      <c r="J637" s="86"/>
      <c r="K637" s="59"/>
      <c r="L637" s="59"/>
      <c r="M637" s="59"/>
      <c r="N637" s="59"/>
      <c r="O637" s="59"/>
    </row>
    <row r="638" spans="1:15" x14ac:dyDescent="0.25">
      <c r="A638" s="59"/>
      <c r="B638" s="59"/>
      <c r="F638" s="59"/>
      <c r="G638" s="59"/>
      <c r="H638" s="59"/>
      <c r="I638" s="59"/>
      <c r="J638" s="86"/>
      <c r="K638" s="59"/>
      <c r="L638" s="59"/>
      <c r="M638" s="59"/>
      <c r="N638" s="59"/>
      <c r="O638" s="59"/>
    </row>
    <row r="639" spans="1:15" x14ac:dyDescent="0.25">
      <c r="A639" s="59"/>
      <c r="B639" s="59"/>
      <c r="F639" s="59"/>
      <c r="G639" s="59"/>
      <c r="H639" s="59"/>
      <c r="I639" s="59"/>
      <c r="J639" s="86"/>
      <c r="K639" s="59"/>
      <c r="L639" s="59"/>
      <c r="M639" s="59"/>
      <c r="N639" s="59"/>
      <c r="O639" s="59"/>
    </row>
    <row r="640" spans="1:15" x14ac:dyDescent="0.25">
      <c r="A640" s="59"/>
      <c r="B640" s="59"/>
      <c r="F640" s="59"/>
      <c r="G640" s="59"/>
      <c r="H640" s="59"/>
      <c r="I640" s="59"/>
      <c r="J640" s="86"/>
      <c r="K640" s="59"/>
      <c r="L640" s="59"/>
      <c r="M640" s="59"/>
      <c r="N640" s="59"/>
      <c r="O640" s="59"/>
    </row>
    <row r="641" spans="1:15" x14ac:dyDescent="0.25">
      <c r="A641" s="59"/>
      <c r="B641" s="59"/>
      <c r="F641" s="59"/>
      <c r="G641" s="59"/>
      <c r="H641" s="59"/>
      <c r="I641" s="59"/>
      <c r="J641" s="86"/>
      <c r="K641" s="59"/>
      <c r="L641" s="59"/>
      <c r="M641" s="59"/>
      <c r="N641" s="59"/>
      <c r="O641" s="59"/>
    </row>
    <row r="642" spans="1:15" x14ac:dyDescent="0.25">
      <c r="A642" s="59"/>
      <c r="B642" s="59"/>
      <c r="F642" s="59"/>
      <c r="G642" s="59"/>
      <c r="H642" s="59"/>
      <c r="I642" s="59"/>
      <c r="J642" s="86"/>
      <c r="K642" s="59"/>
      <c r="L642" s="59"/>
      <c r="M642" s="59"/>
      <c r="N642" s="59"/>
      <c r="O642" s="59"/>
    </row>
    <row r="643" spans="1:15" x14ac:dyDescent="0.25">
      <c r="A643" s="59"/>
      <c r="B643" s="59"/>
      <c r="F643" s="59"/>
      <c r="G643" s="59"/>
      <c r="H643" s="59"/>
      <c r="I643" s="59"/>
      <c r="J643" s="86"/>
      <c r="K643" s="59"/>
      <c r="L643" s="59"/>
      <c r="M643" s="59"/>
      <c r="N643" s="59"/>
      <c r="O643" s="59"/>
    </row>
    <row r="644" spans="1:15" x14ac:dyDescent="0.25">
      <c r="A644" s="59"/>
      <c r="B644" s="59"/>
      <c r="F644" s="59"/>
      <c r="G644" s="59"/>
      <c r="H644" s="59"/>
      <c r="I644" s="59"/>
      <c r="J644" s="86"/>
      <c r="K644" s="59"/>
      <c r="L644" s="59"/>
      <c r="M644" s="59"/>
      <c r="N644" s="59"/>
      <c r="O644" s="59"/>
    </row>
    <row r="645" spans="1:15" x14ac:dyDescent="0.25">
      <c r="A645" s="59"/>
      <c r="B645" s="59"/>
      <c r="F645" s="59"/>
      <c r="G645" s="59"/>
      <c r="H645" s="59"/>
      <c r="I645" s="59"/>
      <c r="J645" s="86"/>
      <c r="K645" s="59"/>
      <c r="L645" s="59"/>
      <c r="M645" s="59"/>
      <c r="N645" s="59"/>
      <c r="O645" s="59"/>
    </row>
    <row r="646" spans="1:15" x14ac:dyDescent="0.25">
      <c r="A646" s="59"/>
      <c r="B646" s="59"/>
      <c r="F646" s="59"/>
      <c r="G646" s="59"/>
      <c r="H646" s="59"/>
      <c r="I646" s="59"/>
      <c r="J646" s="86"/>
      <c r="K646" s="59"/>
      <c r="L646" s="59"/>
      <c r="M646" s="59"/>
      <c r="N646" s="59"/>
      <c r="O646" s="59"/>
    </row>
    <row r="647" spans="1:15" x14ac:dyDescent="0.25">
      <c r="A647" s="59"/>
      <c r="B647" s="59"/>
      <c r="F647" s="59"/>
      <c r="G647" s="59"/>
      <c r="H647" s="59"/>
      <c r="I647" s="59"/>
      <c r="J647" s="86"/>
      <c r="K647" s="59"/>
      <c r="L647" s="59"/>
      <c r="M647" s="59"/>
      <c r="N647" s="59"/>
      <c r="O647" s="59"/>
    </row>
    <row r="648" spans="1:15" x14ac:dyDescent="0.25">
      <c r="A648" s="59"/>
      <c r="B648" s="59"/>
      <c r="F648" s="59"/>
      <c r="G648" s="59"/>
      <c r="H648" s="59"/>
      <c r="I648" s="59"/>
      <c r="J648" s="86"/>
      <c r="K648" s="59"/>
      <c r="L648" s="59"/>
      <c r="M648" s="59"/>
      <c r="N648" s="59"/>
      <c r="O648" s="59"/>
    </row>
    <row r="649" spans="1:15" x14ac:dyDescent="0.25">
      <c r="A649" s="59"/>
      <c r="B649" s="59"/>
      <c r="F649" s="59"/>
      <c r="G649" s="59"/>
      <c r="H649" s="59"/>
      <c r="I649" s="59"/>
      <c r="J649" s="86"/>
      <c r="K649" s="59"/>
      <c r="L649" s="59"/>
      <c r="M649" s="59"/>
      <c r="N649" s="59"/>
      <c r="O649" s="59"/>
    </row>
    <row r="650" spans="1:15" x14ac:dyDescent="0.25">
      <c r="A650" s="59"/>
      <c r="B650" s="59"/>
      <c r="F650" s="59"/>
      <c r="G650" s="59"/>
      <c r="H650" s="59"/>
      <c r="I650" s="59"/>
      <c r="J650" s="86"/>
      <c r="K650" s="59"/>
      <c r="L650" s="59"/>
      <c r="M650" s="59"/>
      <c r="N650" s="59"/>
      <c r="O650" s="59"/>
    </row>
    <row r="651" spans="1:15" x14ac:dyDescent="0.25">
      <c r="A651" s="59"/>
      <c r="B651" s="59"/>
      <c r="F651" s="59"/>
      <c r="G651" s="59"/>
      <c r="H651" s="59"/>
      <c r="I651" s="59"/>
      <c r="J651" s="86"/>
      <c r="K651" s="59"/>
      <c r="L651" s="59"/>
      <c r="M651" s="59"/>
      <c r="N651" s="59"/>
      <c r="O651" s="59"/>
    </row>
    <row r="652" spans="1:15" x14ac:dyDescent="0.25">
      <c r="A652" s="59"/>
      <c r="B652" s="59"/>
      <c r="F652" s="59"/>
      <c r="G652" s="59"/>
      <c r="H652" s="59"/>
      <c r="I652" s="59"/>
      <c r="J652" s="86"/>
      <c r="K652" s="59"/>
      <c r="L652" s="59"/>
      <c r="M652" s="59"/>
      <c r="N652" s="59"/>
      <c r="O652" s="59"/>
    </row>
    <row r="653" spans="1:15" x14ac:dyDescent="0.25">
      <c r="A653" s="59"/>
      <c r="B653" s="59"/>
      <c r="F653" s="59"/>
      <c r="G653" s="59"/>
      <c r="H653" s="59"/>
      <c r="I653" s="59"/>
      <c r="J653" s="86"/>
      <c r="K653" s="59"/>
      <c r="L653" s="59"/>
      <c r="M653" s="59"/>
      <c r="N653" s="59"/>
      <c r="O653" s="59"/>
    </row>
    <row r="654" spans="1:15" x14ac:dyDescent="0.25">
      <c r="A654" s="59"/>
      <c r="B654" s="59"/>
      <c r="F654" s="59"/>
      <c r="G654" s="59"/>
      <c r="H654" s="59"/>
      <c r="I654" s="59"/>
      <c r="J654" s="86"/>
      <c r="K654" s="59"/>
      <c r="L654" s="59"/>
      <c r="M654" s="59"/>
      <c r="N654" s="59"/>
      <c r="O654" s="59"/>
    </row>
    <row r="655" spans="1:15" x14ac:dyDescent="0.25">
      <c r="A655" s="59"/>
      <c r="B655" s="59"/>
      <c r="F655" s="59"/>
      <c r="G655" s="59"/>
      <c r="H655" s="59"/>
      <c r="I655" s="59"/>
      <c r="J655" s="86"/>
      <c r="K655" s="59"/>
      <c r="L655" s="59"/>
      <c r="M655" s="59"/>
      <c r="N655" s="59"/>
      <c r="O655" s="59"/>
    </row>
    <row r="656" spans="1:15" x14ac:dyDescent="0.25">
      <c r="A656" s="59"/>
      <c r="B656" s="59"/>
      <c r="F656" s="59"/>
      <c r="G656" s="59"/>
      <c r="H656" s="59"/>
      <c r="I656" s="59"/>
      <c r="J656" s="86"/>
      <c r="K656" s="59"/>
      <c r="L656" s="59"/>
      <c r="M656" s="59"/>
      <c r="N656" s="59"/>
      <c r="O656" s="59"/>
    </row>
    <row r="657" spans="1:15" x14ac:dyDescent="0.25">
      <c r="A657" s="59"/>
      <c r="B657" s="59"/>
      <c r="F657" s="59"/>
      <c r="G657" s="59"/>
      <c r="H657" s="59"/>
      <c r="I657" s="59"/>
      <c r="J657" s="86"/>
      <c r="K657" s="59"/>
      <c r="L657" s="59"/>
      <c r="M657" s="59"/>
      <c r="N657" s="59"/>
      <c r="O657" s="59"/>
    </row>
    <row r="658" spans="1:15" x14ac:dyDescent="0.25">
      <c r="A658" s="59"/>
      <c r="B658" s="59"/>
      <c r="F658" s="59"/>
      <c r="G658" s="59"/>
      <c r="H658" s="59"/>
      <c r="I658" s="59"/>
      <c r="J658" s="86"/>
      <c r="K658" s="59"/>
      <c r="L658" s="59"/>
      <c r="M658" s="59"/>
      <c r="N658" s="59"/>
      <c r="O658" s="59"/>
    </row>
    <row r="659" spans="1:15" x14ac:dyDescent="0.25">
      <c r="A659" s="59"/>
      <c r="B659" s="59"/>
      <c r="F659" s="59"/>
      <c r="G659" s="59"/>
      <c r="H659" s="59"/>
      <c r="I659" s="59"/>
      <c r="J659" s="86"/>
      <c r="K659" s="59"/>
      <c r="L659" s="59"/>
      <c r="M659" s="59"/>
      <c r="N659" s="59"/>
      <c r="O659" s="59"/>
    </row>
    <row r="660" spans="1:15" x14ac:dyDescent="0.25">
      <c r="A660" s="59"/>
      <c r="B660" s="59"/>
      <c r="F660" s="59"/>
      <c r="G660" s="59"/>
      <c r="H660" s="59"/>
      <c r="I660" s="59"/>
      <c r="J660" s="86"/>
      <c r="K660" s="59"/>
      <c r="L660" s="59"/>
      <c r="M660" s="59"/>
      <c r="N660" s="59"/>
      <c r="O660" s="59"/>
    </row>
    <row r="661" spans="1:15" x14ac:dyDescent="0.25">
      <c r="A661" s="59"/>
      <c r="B661" s="59"/>
      <c r="F661" s="59"/>
      <c r="G661" s="59"/>
      <c r="H661" s="59"/>
      <c r="I661" s="59"/>
      <c r="J661" s="86"/>
      <c r="K661" s="59"/>
      <c r="L661" s="59"/>
      <c r="M661" s="59"/>
      <c r="N661" s="59"/>
      <c r="O661" s="59"/>
    </row>
    <row r="662" spans="1:15" x14ac:dyDescent="0.25">
      <c r="A662" s="59"/>
      <c r="B662" s="59"/>
      <c r="F662" s="59"/>
      <c r="G662" s="59"/>
      <c r="H662" s="59"/>
      <c r="I662" s="59"/>
      <c r="J662" s="86"/>
      <c r="K662" s="59"/>
      <c r="L662" s="59"/>
      <c r="M662" s="59"/>
      <c r="N662" s="59"/>
      <c r="O662" s="59"/>
    </row>
    <row r="663" spans="1:15" x14ac:dyDescent="0.25">
      <c r="A663" s="59"/>
      <c r="B663" s="59"/>
      <c r="F663" s="59"/>
      <c r="G663" s="59"/>
      <c r="H663" s="59"/>
      <c r="I663" s="59"/>
      <c r="J663" s="86"/>
      <c r="K663" s="59"/>
      <c r="L663" s="59"/>
      <c r="M663" s="59"/>
      <c r="N663" s="59"/>
      <c r="O663" s="59"/>
    </row>
    <row r="664" spans="1:15" x14ac:dyDescent="0.25">
      <c r="A664" s="59"/>
      <c r="B664" s="59"/>
      <c r="F664" s="59"/>
      <c r="G664" s="59"/>
      <c r="H664" s="59"/>
      <c r="I664" s="59"/>
      <c r="J664" s="86"/>
      <c r="K664" s="59"/>
      <c r="L664" s="59"/>
      <c r="M664" s="59"/>
      <c r="N664" s="59"/>
      <c r="O664" s="59"/>
    </row>
    <row r="665" spans="1:15" x14ac:dyDescent="0.25">
      <c r="A665" s="59"/>
      <c r="B665" s="59"/>
      <c r="F665" s="59"/>
      <c r="G665" s="59"/>
      <c r="H665" s="59"/>
      <c r="I665" s="59"/>
      <c r="J665" s="86"/>
      <c r="K665" s="59"/>
      <c r="L665" s="59"/>
      <c r="M665" s="59"/>
      <c r="N665" s="59"/>
      <c r="O665" s="59"/>
    </row>
    <row r="666" spans="1:15" x14ac:dyDescent="0.25">
      <c r="A666" s="59"/>
      <c r="B666" s="59"/>
      <c r="F666" s="59"/>
      <c r="G666" s="59"/>
      <c r="H666" s="59"/>
      <c r="I666" s="59"/>
      <c r="J666" s="86"/>
      <c r="K666" s="59"/>
      <c r="L666" s="59"/>
      <c r="M666" s="59"/>
      <c r="N666" s="59"/>
      <c r="O666" s="59"/>
    </row>
    <row r="667" spans="1:15" x14ac:dyDescent="0.25">
      <c r="A667" s="59"/>
      <c r="B667" s="59"/>
      <c r="F667" s="59"/>
      <c r="G667" s="59"/>
      <c r="H667" s="59"/>
      <c r="I667" s="59"/>
      <c r="J667" s="86"/>
      <c r="K667" s="59"/>
      <c r="L667" s="59"/>
      <c r="M667" s="59"/>
      <c r="N667" s="59"/>
      <c r="O667" s="59"/>
    </row>
    <row r="668" spans="1:15" x14ac:dyDescent="0.25">
      <c r="A668" s="59"/>
      <c r="B668" s="59"/>
      <c r="F668" s="59"/>
      <c r="G668" s="59"/>
      <c r="H668" s="59"/>
      <c r="I668" s="59"/>
      <c r="J668" s="86"/>
      <c r="K668" s="59"/>
      <c r="L668" s="59"/>
      <c r="M668" s="59"/>
      <c r="N668" s="59"/>
      <c r="O668" s="59"/>
    </row>
    <row r="669" spans="1:15" x14ac:dyDescent="0.25">
      <c r="A669" s="59"/>
      <c r="B669" s="59"/>
      <c r="F669" s="59"/>
      <c r="G669" s="59"/>
      <c r="H669" s="59"/>
      <c r="I669" s="59"/>
      <c r="J669" s="86"/>
      <c r="K669" s="59"/>
      <c r="L669" s="59"/>
      <c r="M669" s="59"/>
      <c r="N669" s="59"/>
      <c r="O669" s="59"/>
    </row>
    <row r="670" spans="1:15" x14ac:dyDescent="0.25">
      <c r="A670" s="59"/>
      <c r="B670" s="59"/>
      <c r="F670" s="59"/>
      <c r="G670" s="59"/>
      <c r="H670" s="59"/>
      <c r="I670" s="59"/>
      <c r="J670" s="86"/>
      <c r="K670" s="59"/>
      <c r="L670" s="59"/>
      <c r="M670" s="59"/>
      <c r="N670" s="59"/>
      <c r="O670" s="59"/>
    </row>
    <row r="671" spans="1:15" x14ac:dyDescent="0.25">
      <c r="A671" s="59"/>
      <c r="B671" s="59"/>
      <c r="F671" s="59"/>
      <c r="G671" s="59"/>
      <c r="H671" s="59"/>
      <c r="I671" s="59"/>
      <c r="J671" s="86"/>
      <c r="K671" s="59"/>
      <c r="L671" s="59"/>
      <c r="M671" s="59"/>
      <c r="N671" s="59"/>
      <c r="O671" s="59"/>
    </row>
    <row r="672" spans="1:15" x14ac:dyDescent="0.25">
      <c r="A672" s="59"/>
      <c r="B672" s="59"/>
      <c r="F672" s="59"/>
      <c r="G672" s="59"/>
      <c r="H672" s="59"/>
      <c r="I672" s="59"/>
      <c r="J672" s="86"/>
      <c r="K672" s="59"/>
      <c r="L672" s="59"/>
      <c r="M672" s="59"/>
      <c r="N672" s="59"/>
      <c r="O672" s="59"/>
    </row>
    <row r="673" spans="1:15" x14ac:dyDescent="0.25">
      <c r="A673" s="59"/>
      <c r="B673" s="59"/>
      <c r="F673" s="59"/>
      <c r="G673" s="59"/>
      <c r="H673" s="59"/>
      <c r="I673" s="59"/>
      <c r="J673" s="86"/>
      <c r="K673" s="59"/>
      <c r="L673" s="59"/>
      <c r="M673" s="59"/>
      <c r="N673" s="59"/>
      <c r="O673" s="59"/>
    </row>
    <row r="674" spans="1:15" x14ac:dyDescent="0.25">
      <c r="A674" s="59"/>
      <c r="B674" s="59"/>
      <c r="F674" s="59"/>
      <c r="G674" s="59"/>
      <c r="H674" s="59"/>
      <c r="I674" s="59"/>
      <c r="J674" s="86"/>
      <c r="K674" s="59"/>
      <c r="L674" s="59"/>
      <c r="M674" s="59"/>
      <c r="N674" s="59"/>
      <c r="O674" s="59"/>
    </row>
    <row r="675" spans="1:15" x14ac:dyDescent="0.25">
      <c r="A675" s="59"/>
      <c r="B675" s="59"/>
      <c r="F675" s="59"/>
      <c r="G675" s="59"/>
      <c r="H675" s="59"/>
      <c r="I675" s="59"/>
      <c r="J675" s="86"/>
      <c r="K675" s="59"/>
      <c r="L675" s="59"/>
      <c r="M675" s="59"/>
      <c r="N675" s="59"/>
      <c r="O675" s="59"/>
    </row>
    <row r="676" spans="1:15" x14ac:dyDescent="0.25">
      <c r="A676" s="59"/>
      <c r="B676" s="59"/>
      <c r="F676" s="59"/>
      <c r="G676" s="59"/>
      <c r="H676" s="59"/>
      <c r="I676" s="59"/>
      <c r="J676" s="86"/>
      <c r="K676" s="59"/>
      <c r="L676" s="59"/>
      <c r="M676" s="59"/>
      <c r="N676" s="59"/>
      <c r="O676" s="59"/>
    </row>
    <row r="677" spans="1:15" x14ac:dyDescent="0.25">
      <c r="A677" s="59"/>
      <c r="B677" s="59"/>
      <c r="F677" s="59"/>
      <c r="G677" s="59"/>
      <c r="H677" s="59"/>
      <c r="I677" s="59"/>
      <c r="J677" s="86"/>
      <c r="K677" s="59"/>
      <c r="L677" s="59"/>
      <c r="M677" s="59"/>
      <c r="N677" s="59"/>
      <c r="O677" s="59"/>
    </row>
    <row r="678" spans="1:15" x14ac:dyDescent="0.25">
      <c r="A678" s="59"/>
      <c r="B678" s="59"/>
      <c r="F678" s="59"/>
      <c r="G678" s="59"/>
      <c r="H678" s="59"/>
      <c r="I678" s="59"/>
      <c r="J678" s="86"/>
      <c r="K678" s="59"/>
      <c r="L678" s="59"/>
      <c r="M678" s="59"/>
      <c r="N678" s="59"/>
      <c r="O678" s="59"/>
    </row>
    <row r="679" spans="1:15" x14ac:dyDescent="0.25">
      <c r="A679" s="59"/>
      <c r="B679" s="59"/>
      <c r="F679" s="59"/>
      <c r="G679" s="59"/>
      <c r="H679" s="59"/>
      <c r="I679" s="59"/>
      <c r="J679" s="86"/>
      <c r="K679" s="59"/>
      <c r="L679" s="59"/>
      <c r="M679" s="59"/>
      <c r="N679" s="59"/>
      <c r="O679" s="59"/>
    </row>
    <row r="680" spans="1:15" x14ac:dyDescent="0.25">
      <c r="A680" s="59"/>
      <c r="B680" s="59"/>
      <c r="F680" s="59"/>
      <c r="G680" s="59"/>
      <c r="H680" s="59"/>
      <c r="I680" s="59"/>
      <c r="J680" s="86"/>
      <c r="K680" s="59"/>
      <c r="L680" s="59"/>
      <c r="M680" s="59"/>
      <c r="N680" s="59"/>
      <c r="O680" s="59"/>
    </row>
    <row r="681" spans="1:15" x14ac:dyDescent="0.25">
      <c r="A681" s="59"/>
      <c r="B681" s="59"/>
      <c r="F681" s="59"/>
      <c r="G681" s="59"/>
      <c r="H681" s="59"/>
      <c r="I681" s="59"/>
      <c r="J681" s="86"/>
      <c r="K681" s="59"/>
      <c r="L681" s="59"/>
      <c r="M681" s="59"/>
      <c r="N681" s="59"/>
      <c r="O681" s="59"/>
    </row>
    <row r="682" spans="1:15" x14ac:dyDescent="0.25">
      <c r="A682" s="59"/>
      <c r="B682" s="59"/>
      <c r="F682" s="59"/>
      <c r="G682" s="59"/>
      <c r="H682" s="59"/>
      <c r="I682" s="59"/>
      <c r="J682" s="86"/>
      <c r="K682" s="59"/>
      <c r="L682" s="59"/>
      <c r="M682" s="59"/>
      <c r="N682" s="59"/>
      <c r="O682" s="59"/>
    </row>
    <row r="683" spans="1:15" x14ac:dyDescent="0.25">
      <c r="A683" s="59"/>
      <c r="B683" s="59"/>
      <c r="F683" s="59"/>
      <c r="G683" s="59"/>
      <c r="H683" s="59"/>
      <c r="I683" s="59"/>
      <c r="J683" s="86"/>
      <c r="K683" s="59"/>
      <c r="L683" s="59"/>
      <c r="M683" s="59"/>
      <c r="N683" s="59"/>
      <c r="O683" s="59"/>
    </row>
    <row r="684" spans="1:15" x14ac:dyDescent="0.25">
      <c r="A684" s="59"/>
      <c r="B684" s="59"/>
      <c r="F684" s="59"/>
      <c r="G684" s="59"/>
      <c r="H684" s="59"/>
      <c r="I684" s="59"/>
      <c r="J684" s="86"/>
      <c r="K684" s="59"/>
      <c r="L684" s="59"/>
      <c r="M684" s="59"/>
      <c r="N684" s="59"/>
      <c r="O684" s="59"/>
    </row>
    <row r="685" spans="1:15" x14ac:dyDescent="0.25">
      <c r="A685" s="59"/>
      <c r="B685" s="59"/>
      <c r="F685" s="59"/>
      <c r="G685" s="59"/>
      <c r="H685" s="59"/>
      <c r="I685" s="59"/>
      <c r="J685" s="86"/>
      <c r="K685" s="59"/>
      <c r="L685" s="59"/>
      <c r="M685" s="59"/>
      <c r="N685" s="59"/>
      <c r="O685" s="59"/>
    </row>
    <row r="686" spans="1:15" x14ac:dyDescent="0.25">
      <c r="A686" s="59"/>
      <c r="B686" s="59"/>
      <c r="F686" s="59"/>
      <c r="G686" s="59"/>
      <c r="H686" s="59"/>
      <c r="I686" s="59"/>
      <c r="J686" s="86"/>
      <c r="K686" s="59"/>
      <c r="L686" s="59"/>
      <c r="M686" s="59"/>
      <c r="N686" s="59"/>
      <c r="O686" s="59"/>
    </row>
    <row r="687" spans="1:15" x14ac:dyDescent="0.25">
      <c r="A687" s="59"/>
      <c r="B687" s="59"/>
      <c r="F687" s="59"/>
      <c r="G687" s="59"/>
      <c r="H687" s="59"/>
      <c r="I687" s="59"/>
      <c r="J687" s="86"/>
      <c r="K687" s="59"/>
      <c r="L687" s="59"/>
      <c r="M687" s="59"/>
      <c r="N687" s="59"/>
      <c r="O687" s="59"/>
    </row>
    <row r="688" spans="1:15" x14ac:dyDescent="0.25">
      <c r="A688" s="59"/>
      <c r="B688" s="59"/>
      <c r="F688" s="59"/>
      <c r="G688" s="59"/>
      <c r="H688" s="59"/>
      <c r="I688" s="59"/>
      <c r="J688" s="86"/>
      <c r="K688" s="59"/>
      <c r="L688" s="59"/>
      <c r="M688" s="59"/>
      <c r="N688" s="59"/>
      <c r="O688" s="59"/>
    </row>
    <row r="689" spans="1:15" x14ac:dyDescent="0.25">
      <c r="A689" s="59"/>
      <c r="B689" s="59"/>
      <c r="F689" s="59"/>
      <c r="G689" s="59"/>
      <c r="H689" s="59"/>
      <c r="I689" s="59"/>
      <c r="J689" s="86"/>
      <c r="K689" s="59"/>
      <c r="L689" s="59"/>
      <c r="M689" s="59"/>
      <c r="N689" s="59"/>
      <c r="O689" s="59"/>
    </row>
    <row r="690" spans="1:15" x14ac:dyDescent="0.25">
      <c r="A690" s="59"/>
      <c r="B690" s="59"/>
      <c r="F690" s="59"/>
      <c r="G690" s="59"/>
      <c r="H690" s="59"/>
      <c r="I690" s="59"/>
      <c r="J690" s="86"/>
      <c r="K690" s="59"/>
      <c r="L690" s="59"/>
      <c r="M690" s="59"/>
      <c r="N690" s="59"/>
      <c r="O690" s="59"/>
    </row>
    <row r="691" spans="1:15" x14ac:dyDescent="0.25">
      <c r="A691" s="59"/>
      <c r="B691" s="59"/>
      <c r="F691" s="59"/>
      <c r="G691" s="59"/>
      <c r="H691" s="59"/>
      <c r="I691" s="59"/>
      <c r="J691" s="86"/>
      <c r="K691" s="59"/>
      <c r="L691" s="59"/>
      <c r="M691" s="59"/>
      <c r="N691" s="59"/>
      <c r="O691" s="59"/>
    </row>
    <row r="692" spans="1:15" x14ac:dyDescent="0.25">
      <c r="A692" s="59"/>
      <c r="B692" s="59"/>
      <c r="F692" s="59"/>
      <c r="G692" s="59"/>
      <c r="H692" s="59"/>
      <c r="I692" s="59"/>
      <c r="J692" s="86"/>
      <c r="K692" s="59"/>
      <c r="L692" s="59"/>
      <c r="M692" s="59"/>
      <c r="N692" s="59"/>
      <c r="O692" s="59"/>
    </row>
    <row r="693" spans="1:15" x14ac:dyDescent="0.25">
      <c r="A693" s="59"/>
      <c r="B693" s="59"/>
      <c r="F693" s="59"/>
      <c r="G693" s="59"/>
      <c r="H693" s="59"/>
      <c r="I693" s="59"/>
      <c r="J693" s="86"/>
      <c r="K693" s="59"/>
      <c r="L693" s="59"/>
      <c r="M693" s="59"/>
      <c r="N693" s="59"/>
      <c r="O693" s="59"/>
    </row>
    <row r="694" spans="1:15" x14ac:dyDescent="0.25">
      <c r="A694" s="59"/>
      <c r="B694" s="59"/>
      <c r="F694" s="59"/>
      <c r="G694" s="59"/>
      <c r="H694" s="59"/>
      <c r="I694" s="59"/>
      <c r="J694" s="86"/>
      <c r="K694" s="59"/>
      <c r="L694" s="59"/>
      <c r="M694" s="59"/>
      <c r="N694" s="59"/>
      <c r="O694" s="59"/>
    </row>
    <row r="695" spans="1:15" x14ac:dyDescent="0.25">
      <c r="A695" s="59"/>
      <c r="B695" s="59"/>
      <c r="F695" s="59"/>
      <c r="G695" s="59"/>
      <c r="H695" s="59"/>
      <c r="I695" s="59"/>
      <c r="J695" s="86"/>
      <c r="K695" s="59"/>
      <c r="L695" s="59"/>
      <c r="M695" s="59"/>
      <c r="N695" s="59"/>
      <c r="O695" s="59"/>
    </row>
    <row r="696" spans="1:15" x14ac:dyDescent="0.25">
      <c r="A696" s="59"/>
      <c r="B696" s="59"/>
      <c r="F696" s="59"/>
      <c r="G696" s="59"/>
      <c r="H696" s="59"/>
      <c r="I696" s="59"/>
      <c r="J696" s="86"/>
      <c r="K696" s="59"/>
      <c r="L696" s="59"/>
      <c r="M696" s="59"/>
      <c r="N696" s="59"/>
      <c r="O696" s="59"/>
    </row>
    <row r="697" spans="1:15" x14ac:dyDescent="0.25">
      <c r="A697" s="59"/>
      <c r="B697" s="59"/>
      <c r="F697" s="59"/>
      <c r="G697" s="59"/>
      <c r="H697" s="59"/>
      <c r="I697" s="59"/>
      <c r="J697" s="86"/>
      <c r="K697" s="59"/>
      <c r="L697" s="59"/>
      <c r="M697" s="59"/>
      <c r="N697" s="59"/>
      <c r="O697" s="59"/>
    </row>
    <row r="698" spans="1:15" x14ac:dyDescent="0.25">
      <c r="A698" s="59"/>
      <c r="B698" s="59"/>
      <c r="F698" s="59"/>
      <c r="G698" s="59"/>
      <c r="H698" s="59"/>
      <c r="I698" s="59"/>
      <c r="J698" s="86"/>
      <c r="K698" s="59"/>
      <c r="L698" s="59"/>
      <c r="M698" s="59"/>
      <c r="N698" s="59"/>
      <c r="O698" s="59"/>
    </row>
    <row r="699" spans="1:15" x14ac:dyDescent="0.25">
      <c r="A699" s="59"/>
      <c r="B699" s="59"/>
      <c r="F699" s="59"/>
      <c r="G699" s="59"/>
      <c r="H699" s="59"/>
      <c r="I699" s="59"/>
      <c r="J699" s="86"/>
      <c r="K699" s="59"/>
      <c r="L699" s="59"/>
      <c r="M699" s="59"/>
      <c r="N699" s="59"/>
      <c r="O699" s="59"/>
    </row>
    <row r="700" spans="1:15" x14ac:dyDescent="0.25">
      <c r="A700" s="59"/>
      <c r="B700" s="59"/>
      <c r="F700" s="59"/>
      <c r="G700" s="59"/>
      <c r="H700" s="59"/>
      <c r="I700" s="59"/>
      <c r="J700" s="86"/>
      <c r="K700" s="59"/>
      <c r="L700" s="59"/>
      <c r="M700" s="59"/>
      <c r="N700" s="59"/>
      <c r="O700" s="59"/>
    </row>
    <row r="701" spans="1:15" x14ac:dyDescent="0.25">
      <c r="A701" s="59"/>
      <c r="B701" s="59"/>
      <c r="F701" s="59"/>
      <c r="G701" s="59"/>
      <c r="H701" s="59"/>
      <c r="I701" s="59"/>
      <c r="J701" s="86"/>
      <c r="K701" s="59"/>
      <c r="L701" s="59"/>
      <c r="M701" s="59"/>
      <c r="N701" s="59"/>
      <c r="O701" s="59"/>
    </row>
    <row r="702" spans="1:15" x14ac:dyDescent="0.25">
      <c r="A702" s="59"/>
      <c r="B702" s="59"/>
      <c r="F702" s="59"/>
      <c r="G702" s="59"/>
      <c r="H702" s="59"/>
      <c r="I702" s="59"/>
      <c r="J702" s="86"/>
      <c r="K702" s="59"/>
      <c r="L702" s="59"/>
      <c r="M702" s="59"/>
      <c r="N702" s="59"/>
      <c r="O702" s="59"/>
    </row>
    <row r="703" spans="1:15" x14ac:dyDescent="0.25">
      <c r="A703" s="59"/>
      <c r="B703" s="59"/>
      <c r="F703" s="59"/>
      <c r="G703" s="59"/>
      <c r="H703" s="59"/>
      <c r="I703" s="59"/>
      <c r="J703" s="86"/>
      <c r="K703" s="59"/>
      <c r="L703" s="59"/>
      <c r="M703" s="59"/>
      <c r="N703" s="59"/>
      <c r="O703" s="59"/>
    </row>
    <row r="704" spans="1:15" x14ac:dyDescent="0.25">
      <c r="A704" s="59"/>
      <c r="B704" s="59"/>
      <c r="F704" s="59"/>
      <c r="G704" s="59"/>
      <c r="H704" s="59"/>
      <c r="I704" s="59"/>
      <c r="J704" s="86"/>
      <c r="K704" s="59"/>
      <c r="L704" s="59"/>
      <c r="M704" s="59"/>
      <c r="N704" s="59"/>
      <c r="O704" s="59"/>
    </row>
    <row r="705" spans="1:15" x14ac:dyDescent="0.25">
      <c r="A705" s="59"/>
      <c r="B705" s="59"/>
      <c r="F705" s="59"/>
      <c r="G705" s="59"/>
      <c r="H705" s="59"/>
      <c r="I705" s="59"/>
      <c r="J705" s="86"/>
      <c r="K705" s="59"/>
      <c r="L705" s="59"/>
      <c r="M705" s="59"/>
      <c r="N705" s="59"/>
      <c r="O705" s="59"/>
    </row>
    <row r="706" spans="1:15" x14ac:dyDescent="0.25">
      <c r="A706" s="59"/>
      <c r="B706" s="59"/>
      <c r="F706" s="59"/>
      <c r="G706" s="59"/>
      <c r="H706" s="59"/>
      <c r="I706" s="59"/>
      <c r="J706" s="86"/>
      <c r="K706" s="59"/>
      <c r="L706" s="59"/>
      <c r="M706" s="59"/>
      <c r="N706" s="59"/>
      <c r="O706" s="59"/>
    </row>
    <row r="707" spans="1:15" x14ac:dyDescent="0.25">
      <c r="A707" s="59"/>
      <c r="B707" s="59"/>
      <c r="F707" s="59"/>
      <c r="G707" s="59"/>
      <c r="H707" s="59"/>
      <c r="I707" s="59"/>
      <c r="J707" s="86"/>
      <c r="K707" s="59"/>
      <c r="L707" s="59"/>
      <c r="M707" s="59"/>
      <c r="N707" s="59"/>
      <c r="O707" s="59"/>
    </row>
    <row r="708" spans="1:15" x14ac:dyDescent="0.25">
      <c r="A708" s="59"/>
      <c r="B708" s="59"/>
      <c r="F708" s="59"/>
      <c r="G708" s="59"/>
      <c r="H708" s="59"/>
      <c r="I708" s="59"/>
      <c r="J708" s="86"/>
      <c r="K708" s="59"/>
      <c r="L708" s="59"/>
      <c r="M708" s="59"/>
      <c r="N708" s="59"/>
      <c r="O708" s="59"/>
    </row>
    <row r="709" spans="1:15" x14ac:dyDescent="0.25">
      <c r="A709" s="59"/>
      <c r="B709" s="59"/>
      <c r="F709" s="59"/>
      <c r="G709" s="59"/>
      <c r="H709" s="59"/>
      <c r="I709" s="59"/>
      <c r="J709" s="86"/>
      <c r="K709" s="59"/>
      <c r="L709" s="59"/>
      <c r="M709" s="59"/>
      <c r="N709" s="59"/>
      <c r="O709" s="59"/>
    </row>
    <row r="710" spans="1:15" x14ac:dyDescent="0.25">
      <c r="A710" s="59"/>
      <c r="B710" s="59"/>
      <c r="F710" s="59"/>
      <c r="G710" s="59"/>
      <c r="H710" s="59"/>
      <c r="I710" s="59"/>
      <c r="J710" s="86"/>
      <c r="K710" s="59"/>
      <c r="L710" s="59"/>
      <c r="M710" s="59"/>
      <c r="N710" s="59"/>
      <c r="O710" s="59"/>
    </row>
    <row r="711" spans="1:15" x14ac:dyDescent="0.25">
      <c r="A711" s="59"/>
      <c r="B711" s="59"/>
      <c r="F711" s="59"/>
      <c r="G711" s="59"/>
      <c r="H711" s="59"/>
      <c r="I711" s="59"/>
      <c r="J711" s="86"/>
      <c r="K711" s="59"/>
      <c r="L711" s="59"/>
      <c r="M711" s="59"/>
      <c r="N711" s="59"/>
      <c r="O711" s="59"/>
    </row>
    <row r="712" spans="1:15" x14ac:dyDescent="0.25">
      <c r="A712" s="59"/>
      <c r="B712" s="59"/>
      <c r="F712" s="59"/>
      <c r="G712" s="59"/>
      <c r="H712" s="59"/>
      <c r="I712" s="59"/>
      <c r="J712" s="86"/>
      <c r="K712" s="59"/>
      <c r="L712" s="59"/>
      <c r="M712" s="59"/>
      <c r="N712" s="59"/>
      <c r="O712" s="59"/>
    </row>
    <row r="713" spans="1:15" x14ac:dyDescent="0.25">
      <c r="A713" s="59"/>
      <c r="B713" s="59"/>
      <c r="F713" s="59"/>
      <c r="G713" s="59"/>
      <c r="H713" s="59"/>
      <c r="I713" s="59"/>
      <c r="J713" s="86"/>
      <c r="K713" s="59"/>
      <c r="L713" s="59"/>
      <c r="M713" s="59"/>
      <c r="N713" s="59"/>
      <c r="O713" s="59"/>
    </row>
    <row r="714" spans="1:15" x14ac:dyDescent="0.25">
      <c r="A714" s="59"/>
      <c r="B714" s="59"/>
      <c r="F714" s="59"/>
      <c r="G714" s="59"/>
      <c r="H714" s="59"/>
      <c r="I714" s="59"/>
      <c r="J714" s="86"/>
      <c r="K714" s="59"/>
      <c r="L714" s="59"/>
      <c r="M714" s="59"/>
      <c r="N714" s="59"/>
      <c r="O714" s="59"/>
    </row>
    <row r="715" spans="1:15" x14ac:dyDescent="0.25">
      <c r="A715" s="59"/>
      <c r="B715" s="59"/>
      <c r="F715" s="59"/>
      <c r="G715" s="59"/>
      <c r="H715" s="59"/>
      <c r="I715" s="59"/>
      <c r="J715" s="86"/>
      <c r="K715" s="59"/>
      <c r="L715" s="59"/>
      <c r="M715" s="59"/>
      <c r="N715" s="59"/>
      <c r="O715" s="59"/>
    </row>
    <row r="716" spans="1:15" x14ac:dyDescent="0.25">
      <c r="A716" s="59"/>
      <c r="B716" s="59"/>
      <c r="F716" s="59"/>
      <c r="G716" s="59"/>
      <c r="H716" s="59"/>
      <c r="I716" s="59"/>
      <c r="J716" s="86"/>
      <c r="K716" s="59"/>
      <c r="L716" s="59"/>
      <c r="M716" s="59"/>
      <c r="N716" s="59"/>
      <c r="O716" s="59"/>
    </row>
    <row r="717" spans="1:15" x14ac:dyDescent="0.25">
      <c r="A717" s="59"/>
      <c r="B717" s="59"/>
      <c r="F717" s="59"/>
      <c r="G717" s="59"/>
      <c r="H717" s="59"/>
      <c r="I717" s="59"/>
      <c r="J717" s="86"/>
      <c r="K717" s="59"/>
      <c r="L717" s="59"/>
      <c r="M717" s="59"/>
      <c r="N717" s="59"/>
      <c r="O717" s="59"/>
    </row>
    <row r="718" spans="1:15" x14ac:dyDescent="0.25">
      <c r="A718" s="59"/>
      <c r="B718" s="59"/>
      <c r="F718" s="59"/>
      <c r="G718" s="59"/>
      <c r="H718" s="59"/>
      <c r="I718" s="59"/>
      <c r="J718" s="86"/>
      <c r="K718" s="59"/>
      <c r="L718" s="59"/>
      <c r="M718" s="59"/>
      <c r="N718" s="59"/>
      <c r="O718" s="59"/>
    </row>
    <row r="719" spans="1:15" x14ac:dyDescent="0.25">
      <c r="A719" s="59"/>
      <c r="B719" s="59"/>
      <c r="F719" s="59"/>
      <c r="G719" s="59"/>
      <c r="H719" s="59"/>
      <c r="I719" s="59"/>
      <c r="J719" s="86"/>
      <c r="K719" s="59"/>
      <c r="L719" s="59"/>
      <c r="M719" s="59"/>
      <c r="N719" s="59"/>
      <c r="O719" s="59"/>
    </row>
    <row r="720" spans="1:15" x14ac:dyDescent="0.25">
      <c r="A720" s="59"/>
      <c r="B720" s="59"/>
      <c r="F720" s="59"/>
      <c r="G720" s="59"/>
      <c r="H720" s="59"/>
      <c r="I720" s="59"/>
      <c r="J720" s="86"/>
      <c r="K720" s="59"/>
      <c r="L720" s="59"/>
      <c r="M720" s="59"/>
      <c r="N720" s="59"/>
      <c r="O720" s="59"/>
    </row>
    <row r="721" spans="1:15" x14ac:dyDescent="0.25">
      <c r="A721" s="59"/>
      <c r="B721" s="59"/>
      <c r="F721" s="59"/>
      <c r="G721" s="59"/>
      <c r="H721" s="59"/>
      <c r="I721" s="59"/>
      <c r="J721" s="86"/>
      <c r="K721" s="59"/>
      <c r="L721" s="59"/>
      <c r="M721" s="59"/>
      <c r="N721" s="59"/>
      <c r="O721" s="59"/>
    </row>
    <row r="722" spans="1:15" x14ac:dyDescent="0.25">
      <c r="A722" s="59"/>
      <c r="B722" s="59"/>
      <c r="F722" s="59"/>
      <c r="G722" s="59"/>
      <c r="H722" s="59"/>
      <c r="I722" s="59"/>
      <c r="J722" s="86"/>
      <c r="K722" s="59"/>
      <c r="L722" s="59"/>
      <c r="M722" s="59"/>
      <c r="N722" s="59"/>
      <c r="O722" s="59"/>
    </row>
    <row r="723" spans="1:15" x14ac:dyDescent="0.25">
      <c r="A723" s="59"/>
      <c r="B723" s="59"/>
      <c r="F723" s="59"/>
      <c r="G723" s="59"/>
      <c r="H723" s="59"/>
      <c r="I723" s="59"/>
      <c r="J723" s="86"/>
      <c r="K723" s="59"/>
      <c r="L723" s="59"/>
      <c r="M723" s="59"/>
      <c r="N723" s="59"/>
      <c r="O723" s="59"/>
    </row>
    <row r="724" spans="1:15" x14ac:dyDescent="0.25">
      <c r="A724" s="59"/>
      <c r="B724" s="59"/>
      <c r="F724" s="59"/>
      <c r="G724" s="59"/>
      <c r="H724" s="59"/>
      <c r="I724" s="59"/>
      <c r="J724" s="86"/>
      <c r="K724" s="59"/>
      <c r="L724" s="59"/>
      <c r="M724" s="59"/>
      <c r="N724" s="59"/>
      <c r="O724" s="59"/>
    </row>
    <row r="725" spans="1:15" x14ac:dyDescent="0.25">
      <c r="A725" s="59"/>
      <c r="B725" s="59"/>
      <c r="F725" s="59"/>
      <c r="G725" s="59"/>
      <c r="H725" s="59"/>
      <c r="I725" s="59"/>
      <c r="J725" s="86"/>
      <c r="K725" s="59"/>
      <c r="L725" s="59"/>
      <c r="M725" s="59"/>
      <c r="N725" s="59"/>
      <c r="O725" s="59"/>
    </row>
    <row r="726" spans="1:15" x14ac:dyDescent="0.25">
      <c r="A726" s="59"/>
      <c r="B726" s="59"/>
      <c r="F726" s="59"/>
      <c r="G726" s="59"/>
      <c r="H726" s="59"/>
      <c r="I726" s="59"/>
      <c r="J726" s="86"/>
      <c r="K726" s="59"/>
      <c r="L726" s="59"/>
      <c r="M726" s="59"/>
      <c r="N726" s="59"/>
      <c r="O726" s="59"/>
    </row>
    <row r="727" spans="1:15" x14ac:dyDescent="0.25">
      <c r="A727" s="59"/>
      <c r="B727" s="59"/>
      <c r="F727" s="59"/>
      <c r="G727" s="59"/>
      <c r="H727" s="59"/>
      <c r="I727" s="59"/>
      <c r="J727" s="86"/>
      <c r="K727" s="59"/>
      <c r="L727" s="59"/>
      <c r="M727" s="59"/>
      <c r="N727" s="59"/>
      <c r="O727" s="59"/>
    </row>
    <row r="728" spans="1:15" x14ac:dyDescent="0.25">
      <c r="A728" s="59"/>
      <c r="B728" s="59"/>
      <c r="F728" s="59"/>
      <c r="G728" s="59"/>
      <c r="H728" s="59"/>
      <c r="I728" s="59"/>
      <c r="J728" s="86"/>
      <c r="K728" s="59"/>
      <c r="L728" s="59"/>
      <c r="M728" s="59"/>
      <c r="N728" s="59"/>
      <c r="O728" s="59"/>
    </row>
    <row r="729" spans="1:15" x14ac:dyDescent="0.25">
      <c r="A729" s="59"/>
      <c r="B729" s="59"/>
      <c r="F729" s="59"/>
      <c r="G729" s="59"/>
      <c r="H729" s="59"/>
      <c r="I729" s="59"/>
      <c r="J729" s="86"/>
      <c r="K729" s="59"/>
      <c r="L729" s="59"/>
      <c r="M729" s="59"/>
      <c r="N729" s="59"/>
      <c r="O729" s="59"/>
    </row>
    <row r="730" spans="1:15" x14ac:dyDescent="0.25">
      <c r="A730" s="59"/>
      <c r="B730" s="59"/>
      <c r="F730" s="59"/>
      <c r="G730" s="59"/>
      <c r="H730" s="59"/>
      <c r="I730" s="59"/>
      <c r="J730" s="86"/>
      <c r="K730" s="59"/>
      <c r="L730" s="59"/>
      <c r="M730" s="59"/>
      <c r="N730" s="59"/>
      <c r="O730" s="59"/>
    </row>
    <row r="731" spans="1:15" x14ac:dyDescent="0.25">
      <c r="A731" s="59"/>
      <c r="B731" s="59"/>
      <c r="F731" s="59"/>
      <c r="G731" s="59"/>
      <c r="H731" s="59"/>
      <c r="I731" s="59"/>
      <c r="J731" s="86"/>
      <c r="K731" s="59"/>
      <c r="L731" s="59"/>
      <c r="M731" s="59"/>
      <c r="N731" s="59"/>
      <c r="O731" s="59"/>
    </row>
    <row r="732" spans="1:15" x14ac:dyDescent="0.25">
      <c r="A732" s="59"/>
      <c r="B732" s="59"/>
      <c r="F732" s="59"/>
      <c r="G732" s="59"/>
      <c r="H732" s="59"/>
      <c r="I732" s="59"/>
      <c r="J732" s="86"/>
      <c r="K732" s="59"/>
      <c r="L732" s="59"/>
      <c r="M732" s="59"/>
      <c r="N732" s="59"/>
      <c r="O732" s="59"/>
    </row>
    <row r="733" spans="1:15" x14ac:dyDescent="0.25">
      <c r="A733" s="59"/>
      <c r="B733" s="59"/>
      <c r="F733" s="59"/>
      <c r="G733" s="59"/>
      <c r="H733" s="59"/>
      <c r="I733" s="59"/>
      <c r="J733" s="86"/>
      <c r="K733" s="59"/>
      <c r="L733" s="59"/>
      <c r="M733" s="59"/>
      <c r="N733" s="59"/>
      <c r="O733" s="59"/>
    </row>
    <row r="734" spans="1:15" x14ac:dyDescent="0.25">
      <c r="A734" s="59"/>
      <c r="B734" s="59"/>
      <c r="F734" s="59"/>
      <c r="G734" s="59"/>
      <c r="H734" s="59"/>
      <c r="I734" s="59"/>
      <c r="J734" s="86"/>
      <c r="K734" s="59"/>
      <c r="L734" s="59"/>
      <c r="M734" s="59"/>
      <c r="N734" s="59"/>
      <c r="O734" s="59"/>
    </row>
    <row r="735" spans="1:15" x14ac:dyDescent="0.25">
      <c r="A735" s="59"/>
      <c r="B735" s="59"/>
      <c r="F735" s="59"/>
      <c r="G735" s="59"/>
      <c r="H735" s="59"/>
      <c r="I735" s="59"/>
      <c r="J735" s="86"/>
      <c r="K735" s="59"/>
      <c r="L735" s="59"/>
      <c r="M735" s="59"/>
      <c r="N735" s="59"/>
      <c r="O735" s="59"/>
    </row>
    <row r="736" spans="1:15" x14ac:dyDescent="0.25">
      <c r="A736" s="59"/>
      <c r="B736" s="59"/>
      <c r="F736" s="59"/>
      <c r="G736" s="59"/>
      <c r="H736" s="59"/>
      <c r="I736" s="59"/>
      <c r="J736" s="86"/>
      <c r="K736" s="59"/>
      <c r="L736" s="59"/>
      <c r="M736" s="59"/>
      <c r="N736" s="59"/>
      <c r="O736" s="59"/>
    </row>
    <row r="737" spans="1:15" x14ac:dyDescent="0.25">
      <c r="A737" s="59"/>
      <c r="B737" s="59"/>
      <c r="F737" s="59"/>
      <c r="G737" s="59"/>
      <c r="H737" s="59"/>
      <c r="I737" s="59"/>
      <c r="J737" s="86"/>
      <c r="K737" s="59"/>
      <c r="L737" s="59"/>
      <c r="M737" s="59"/>
      <c r="N737" s="59"/>
      <c r="O737" s="59"/>
    </row>
    <row r="738" spans="1:15" x14ac:dyDescent="0.25">
      <c r="A738" s="59"/>
      <c r="B738" s="59"/>
      <c r="F738" s="59"/>
      <c r="G738" s="59"/>
      <c r="H738" s="59"/>
      <c r="I738" s="59"/>
      <c r="J738" s="86"/>
      <c r="K738" s="59"/>
      <c r="L738" s="59"/>
      <c r="M738" s="59"/>
      <c r="N738" s="59"/>
      <c r="O738" s="59"/>
    </row>
    <row r="739" spans="1:15" x14ac:dyDescent="0.25">
      <c r="A739" s="59"/>
      <c r="B739" s="59"/>
      <c r="F739" s="59"/>
      <c r="G739" s="59"/>
      <c r="H739" s="59"/>
      <c r="I739" s="59"/>
      <c r="J739" s="86"/>
      <c r="K739" s="59"/>
      <c r="L739" s="59"/>
      <c r="M739" s="59"/>
      <c r="N739" s="59"/>
      <c r="O739" s="59"/>
    </row>
    <row r="740" spans="1:15" x14ac:dyDescent="0.25">
      <c r="A740" s="59"/>
      <c r="B740" s="59"/>
      <c r="F740" s="59"/>
      <c r="G740" s="59"/>
      <c r="H740" s="59"/>
      <c r="I740" s="59"/>
      <c r="J740" s="86"/>
      <c r="K740" s="59"/>
      <c r="L740" s="59"/>
      <c r="M740" s="59"/>
      <c r="N740" s="59"/>
      <c r="O740" s="59"/>
    </row>
    <row r="741" spans="1:15" x14ac:dyDescent="0.25">
      <c r="A741" s="59"/>
      <c r="B741" s="59"/>
      <c r="F741" s="59"/>
      <c r="G741" s="59"/>
      <c r="H741" s="59"/>
      <c r="I741" s="59"/>
      <c r="J741" s="86"/>
      <c r="K741" s="59"/>
      <c r="L741" s="59"/>
      <c r="M741" s="59"/>
      <c r="N741" s="59"/>
      <c r="O741" s="59"/>
    </row>
    <row r="742" spans="1:15" x14ac:dyDescent="0.25">
      <c r="A742" s="59"/>
      <c r="B742" s="59"/>
      <c r="F742" s="59"/>
      <c r="G742" s="59"/>
      <c r="H742" s="59"/>
      <c r="I742" s="59"/>
      <c r="J742" s="86"/>
      <c r="K742" s="59"/>
      <c r="L742" s="59"/>
      <c r="M742" s="59"/>
      <c r="N742" s="59"/>
      <c r="O742" s="59"/>
    </row>
    <row r="743" spans="1:15" x14ac:dyDescent="0.25">
      <c r="A743" s="59"/>
      <c r="B743" s="59"/>
      <c r="F743" s="59"/>
      <c r="G743" s="59"/>
      <c r="H743" s="59"/>
      <c r="I743" s="59"/>
      <c r="J743" s="86"/>
      <c r="K743" s="59"/>
      <c r="L743" s="59"/>
      <c r="M743" s="59"/>
      <c r="N743" s="59"/>
      <c r="O743" s="59"/>
    </row>
    <row r="744" spans="1:15" x14ac:dyDescent="0.25">
      <c r="A744" s="59"/>
      <c r="B744" s="59"/>
      <c r="F744" s="59"/>
      <c r="G744" s="59"/>
      <c r="H744" s="59"/>
      <c r="I744" s="59"/>
      <c r="J744" s="86"/>
      <c r="K744" s="59"/>
      <c r="L744" s="59"/>
      <c r="M744" s="59"/>
      <c r="N744" s="59"/>
      <c r="O744" s="59"/>
    </row>
    <row r="745" spans="1:15" x14ac:dyDescent="0.25">
      <c r="A745" s="59"/>
      <c r="B745" s="59"/>
      <c r="F745" s="59"/>
      <c r="G745" s="59"/>
      <c r="H745" s="59"/>
      <c r="I745" s="59"/>
      <c r="J745" s="86"/>
      <c r="K745" s="59"/>
      <c r="L745" s="59"/>
      <c r="M745" s="59"/>
      <c r="N745" s="59"/>
      <c r="O745" s="59"/>
    </row>
    <row r="746" spans="1:15" x14ac:dyDescent="0.25">
      <c r="A746" s="59"/>
      <c r="B746" s="59"/>
      <c r="F746" s="59"/>
      <c r="G746" s="59"/>
      <c r="H746" s="59"/>
      <c r="I746" s="59"/>
      <c r="J746" s="86"/>
      <c r="K746" s="59"/>
      <c r="L746" s="59"/>
      <c r="M746" s="59"/>
      <c r="N746" s="59"/>
      <c r="O746" s="59"/>
    </row>
    <row r="747" spans="1:15" x14ac:dyDescent="0.25">
      <c r="A747" s="59"/>
      <c r="B747" s="59"/>
      <c r="F747" s="59"/>
      <c r="G747" s="59"/>
      <c r="H747" s="59"/>
      <c r="I747" s="59"/>
      <c r="J747" s="86"/>
      <c r="K747" s="59"/>
      <c r="L747" s="59"/>
      <c r="M747" s="59"/>
      <c r="N747" s="59"/>
      <c r="O747" s="59"/>
    </row>
    <row r="748" spans="1:15" x14ac:dyDescent="0.25">
      <c r="A748" s="59"/>
      <c r="B748" s="59"/>
      <c r="F748" s="59"/>
      <c r="G748" s="59"/>
      <c r="H748" s="59"/>
      <c r="I748" s="59"/>
      <c r="J748" s="86"/>
      <c r="K748" s="59"/>
      <c r="L748" s="59"/>
      <c r="M748" s="59"/>
      <c r="N748" s="59"/>
      <c r="O748" s="59"/>
    </row>
    <row r="749" spans="1:15" x14ac:dyDescent="0.25">
      <c r="A749" s="59"/>
      <c r="B749" s="59"/>
      <c r="F749" s="59"/>
      <c r="G749" s="59"/>
      <c r="H749" s="59"/>
      <c r="I749" s="59"/>
      <c r="J749" s="86"/>
      <c r="K749" s="59"/>
      <c r="L749" s="59"/>
      <c r="M749" s="59"/>
      <c r="N749" s="59"/>
      <c r="O749" s="59"/>
    </row>
    <row r="750" spans="1:15" x14ac:dyDescent="0.25">
      <c r="A750" s="59"/>
      <c r="B750" s="59"/>
      <c r="F750" s="59"/>
      <c r="G750" s="59"/>
      <c r="H750" s="59"/>
      <c r="I750" s="59"/>
      <c r="J750" s="86"/>
      <c r="K750" s="59"/>
      <c r="L750" s="59"/>
      <c r="M750" s="59"/>
      <c r="N750" s="59"/>
      <c r="O750" s="59"/>
    </row>
    <row r="751" spans="1:15" x14ac:dyDescent="0.25">
      <c r="A751" s="59"/>
      <c r="B751" s="59"/>
      <c r="F751" s="59"/>
      <c r="G751" s="59"/>
      <c r="H751" s="59"/>
      <c r="I751" s="59"/>
      <c r="J751" s="86"/>
      <c r="K751" s="59"/>
      <c r="L751" s="59"/>
      <c r="M751" s="59"/>
      <c r="N751" s="59"/>
      <c r="O751" s="59"/>
    </row>
    <row r="752" spans="1:15" x14ac:dyDescent="0.25">
      <c r="A752" s="59"/>
      <c r="B752" s="59"/>
      <c r="F752" s="59"/>
      <c r="G752" s="59"/>
      <c r="H752" s="59"/>
      <c r="I752" s="59"/>
      <c r="J752" s="86"/>
      <c r="K752" s="59"/>
      <c r="L752" s="59"/>
      <c r="M752" s="59"/>
      <c r="N752" s="59"/>
      <c r="O752" s="59"/>
    </row>
    <row r="753" spans="1:15" x14ac:dyDescent="0.25">
      <c r="A753" s="59"/>
      <c r="B753" s="59"/>
      <c r="F753" s="59"/>
      <c r="G753" s="59"/>
      <c r="H753" s="59"/>
      <c r="I753" s="59"/>
      <c r="J753" s="86"/>
      <c r="K753" s="59"/>
      <c r="L753" s="59"/>
      <c r="M753" s="59"/>
      <c r="N753" s="59"/>
      <c r="O753" s="59"/>
    </row>
    <row r="754" spans="1:15" x14ac:dyDescent="0.25">
      <c r="A754" s="59"/>
      <c r="B754" s="59"/>
      <c r="F754" s="59"/>
      <c r="G754" s="59"/>
      <c r="H754" s="59"/>
      <c r="I754" s="59"/>
      <c r="J754" s="86"/>
      <c r="K754" s="59"/>
      <c r="L754" s="59"/>
      <c r="M754" s="59"/>
      <c r="N754" s="59"/>
      <c r="O754" s="59"/>
    </row>
    <row r="755" spans="1:15" x14ac:dyDescent="0.25">
      <c r="A755" s="59"/>
      <c r="B755" s="59"/>
      <c r="F755" s="59"/>
      <c r="G755" s="59"/>
      <c r="H755" s="59"/>
      <c r="I755" s="59"/>
      <c r="J755" s="86"/>
      <c r="K755" s="59"/>
      <c r="L755" s="59"/>
      <c r="M755" s="59"/>
      <c r="N755" s="59"/>
      <c r="O755" s="59"/>
    </row>
    <row r="756" spans="1:15" x14ac:dyDescent="0.25">
      <c r="A756" s="59"/>
      <c r="B756" s="59"/>
      <c r="F756" s="59"/>
      <c r="G756" s="59"/>
      <c r="H756" s="59"/>
      <c r="I756" s="59"/>
      <c r="J756" s="86"/>
      <c r="K756" s="59"/>
      <c r="L756" s="59"/>
      <c r="M756" s="59"/>
      <c r="N756" s="59"/>
      <c r="O756" s="59"/>
    </row>
    <row r="757" spans="1:15" x14ac:dyDescent="0.25">
      <c r="A757" s="59"/>
      <c r="B757" s="59"/>
      <c r="F757" s="59"/>
      <c r="G757" s="59"/>
      <c r="H757" s="59"/>
      <c r="I757" s="59"/>
      <c r="J757" s="86"/>
      <c r="K757" s="59"/>
      <c r="L757" s="59"/>
      <c r="M757" s="59"/>
      <c r="N757" s="59"/>
      <c r="O757" s="59"/>
    </row>
    <row r="758" spans="1:15" x14ac:dyDescent="0.25">
      <c r="A758" s="59"/>
      <c r="B758" s="59"/>
      <c r="F758" s="59"/>
      <c r="G758" s="59"/>
      <c r="H758" s="59"/>
      <c r="I758" s="59"/>
      <c r="J758" s="86"/>
      <c r="K758" s="59"/>
      <c r="L758" s="59"/>
      <c r="M758" s="59"/>
      <c r="N758" s="59"/>
      <c r="O758" s="59"/>
    </row>
    <row r="759" spans="1:15" x14ac:dyDescent="0.25">
      <c r="A759" s="59"/>
      <c r="B759" s="59"/>
      <c r="F759" s="59"/>
      <c r="G759" s="59"/>
      <c r="H759" s="59"/>
      <c r="I759" s="59"/>
      <c r="J759" s="86"/>
      <c r="K759" s="59"/>
      <c r="L759" s="59"/>
      <c r="M759" s="59"/>
      <c r="N759" s="59"/>
      <c r="O759" s="59"/>
    </row>
    <row r="760" spans="1:15" x14ac:dyDescent="0.25">
      <c r="A760" s="59"/>
      <c r="B760" s="59"/>
      <c r="F760" s="59"/>
      <c r="G760" s="59"/>
      <c r="H760" s="59"/>
      <c r="I760" s="59"/>
      <c r="J760" s="86"/>
      <c r="K760" s="59"/>
      <c r="L760" s="59"/>
      <c r="M760" s="59"/>
      <c r="N760" s="59"/>
      <c r="O760" s="59"/>
    </row>
    <row r="761" spans="1:15" x14ac:dyDescent="0.25">
      <c r="A761" s="59"/>
      <c r="B761" s="59"/>
      <c r="F761" s="59"/>
      <c r="G761" s="59"/>
      <c r="H761" s="59"/>
      <c r="I761" s="59"/>
      <c r="J761" s="86"/>
      <c r="K761" s="59"/>
      <c r="L761" s="59"/>
      <c r="M761" s="59"/>
      <c r="N761" s="59"/>
      <c r="O761" s="59"/>
    </row>
    <row r="762" spans="1:15" x14ac:dyDescent="0.25">
      <c r="A762" s="59"/>
      <c r="B762" s="59"/>
      <c r="F762" s="59"/>
      <c r="G762" s="59"/>
      <c r="H762" s="59"/>
      <c r="I762" s="59"/>
      <c r="J762" s="86"/>
      <c r="K762" s="59"/>
      <c r="L762" s="59"/>
      <c r="M762" s="59"/>
      <c r="N762" s="59"/>
      <c r="O762" s="59"/>
    </row>
    <row r="763" spans="1:15" x14ac:dyDescent="0.25">
      <c r="A763" s="59"/>
      <c r="B763" s="59"/>
      <c r="F763" s="59"/>
      <c r="G763" s="59"/>
      <c r="H763" s="59"/>
      <c r="I763" s="59"/>
      <c r="J763" s="86"/>
      <c r="K763" s="59"/>
      <c r="L763" s="59"/>
      <c r="M763" s="59"/>
      <c r="N763" s="59"/>
      <c r="O763" s="59"/>
    </row>
    <row r="764" spans="1:15" x14ac:dyDescent="0.25">
      <c r="A764" s="59"/>
      <c r="B764" s="59"/>
      <c r="F764" s="59"/>
      <c r="G764" s="59"/>
      <c r="H764" s="59"/>
      <c r="I764" s="59"/>
      <c r="J764" s="86"/>
      <c r="K764" s="59"/>
      <c r="L764" s="59"/>
      <c r="M764" s="59"/>
      <c r="N764" s="59"/>
      <c r="O764" s="59"/>
    </row>
    <row r="765" spans="1:15" x14ac:dyDescent="0.25">
      <c r="A765" s="59"/>
      <c r="B765" s="59"/>
      <c r="F765" s="59"/>
      <c r="G765" s="59"/>
      <c r="H765" s="59"/>
      <c r="I765" s="59"/>
      <c r="J765" s="86"/>
      <c r="K765" s="59"/>
      <c r="L765" s="59"/>
      <c r="M765" s="59"/>
      <c r="N765" s="59"/>
      <c r="O765" s="59"/>
    </row>
    <row r="766" spans="1:15" x14ac:dyDescent="0.25">
      <c r="A766" s="59"/>
      <c r="B766" s="59"/>
      <c r="F766" s="59"/>
      <c r="G766" s="59"/>
      <c r="H766" s="59"/>
      <c r="I766" s="59"/>
      <c r="J766" s="86"/>
      <c r="K766" s="59"/>
      <c r="L766" s="59"/>
      <c r="M766" s="59"/>
      <c r="N766" s="59"/>
      <c r="O766" s="59"/>
    </row>
    <row r="767" spans="1:15" x14ac:dyDescent="0.25">
      <c r="A767" s="59"/>
      <c r="B767" s="59"/>
      <c r="F767" s="59"/>
      <c r="G767" s="59"/>
      <c r="H767" s="59"/>
      <c r="I767" s="59"/>
      <c r="J767" s="86"/>
      <c r="K767" s="59"/>
      <c r="L767" s="59"/>
      <c r="M767" s="59"/>
      <c r="N767" s="59"/>
      <c r="O767" s="59"/>
    </row>
    <row r="768" spans="1:15" x14ac:dyDescent="0.25">
      <c r="A768" s="59"/>
      <c r="B768" s="59"/>
      <c r="F768" s="59"/>
      <c r="G768" s="59"/>
      <c r="H768" s="59"/>
      <c r="I768" s="59"/>
      <c r="J768" s="86"/>
      <c r="K768" s="59"/>
      <c r="L768" s="59"/>
      <c r="M768" s="59"/>
      <c r="N768" s="59"/>
      <c r="O768" s="59"/>
    </row>
    <row r="769" spans="1:15" x14ac:dyDescent="0.25">
      <c r="A769" s="59"/>
      <c r="B769" s="59"/>
      <c r="F769" s="59"/>
      <c r="G769" s="59"/>
      <c r="H769" s="59"/>
      <c r="I769" s="59"/>
      <c r="J769" s="86"/>
      <c r="K769" s="59"/>
      <c r="L769" s="59"/>
      <c r="M769" s="59"/>
      <c r="N769" s="59"/>
      <c r="O769" s="59"/>
    </row>
    <row r="770" spans="1:15" x14ac:dyDescent="0.25">
      <c r="A770" s="59"/>
      <c r="B770" s="59"/>
      <c r="F770" s="59"/>
      <c r="G770" s="59"/>
      <c r="H770" s="59"/>
      <c r="I770" s="59"/>
      <c r="J770" s="86"/>
      <c r="K770" s="59"/>
      <c r="L770" s="59"/>
      <c r="M770" s="59"/>
      <c r="N770" s="59"/>
      <c r="O770" s="59"/>
    </row>
    <row r="771" spans="1:15" x14ac:dyDescent="0.25">
      <c r="A771" s="59"/>
      <c r="B771" s="59"/>
      <c r="F771" s="59"/>
      <c r="G771" s="59"/>
      <c r="H771" s="59"/>
      <c r="I771" s="59"/>
      <c r="J771" s="86"/>
      <c r="K771" s="59"/>
      <c r="L771" s="59"/>
      <c r="M771" s="59"/>
      <c r="N771" s="59"/>
      <c r="O771" s="59"/>
    </row>
    <row r="772" spans="1:15" x14ac:dyDescent="0.25">
      <c r="A772" s="59"/>
      <c r="B772" s="59"/>
      <c r="F772" s="59"/>
      <c r="G772" s="59"/>
      <c r="H772" s="59"/>
      <c r="I772" s="59"/>
      <c r="J772" s="86"/>
      <c r="K772" s="59"/>
      <c r="L772" s="59"/>
      <c r="M772" s="59"/>
      <c r="N772" s="59"/>
      <c r="O772" s="59"/>
    </row>
    <row r="773" spans="1:15" x14ac:dyDescent="0.25">
      <c r="A773" s="59"/>
      <c r="B773" s="59"/>
      <c r="F773" s="59"/>
      <c r="G773" s="59"/>
      <c r="H773" s="59"/>
      <c r="I773" s="59"/>
      <c r="J773" s="86"/>
      <c r="K773" s="59"/>
      <c r="L773" s="59"/>
      <c r="M773" s="59"/>
      <c r="N773" s="59"/>
      <c r="O773" s="59"/>
    </row>
    <row r="774" spans="1:15" x14ac:dyDescent="0.25">
      <c r="A774" s="59"/>
      <c r="B774" s="59"/>
      <c r="F774" s="59"/>
      <c r="G774" s="59"/>
      <c r="H774" s="59"/>
      <c r="I774" s="59"/>
      <c r="J774" s="86"/>
      <c r="K774" s="59"/>
      <c r="L774" s="59"/>
      <c r="M774" s="59"/>
      <c r="N774" s="59"/>
      <c r="O774" s="59"/>
    </row>
    <row r="775" spans="1:15" x14ac:dyDescent="0.25">
      <c r="A775" s="59"/>
      <c r="B775" s="59"/>
      <c r="F775" s="59"/>
      <c r="G775" s="59"/>
      <c r="H775" s="59"/>
      <c r="I775" s="59"/>
      <c r="J775" s="86"/>
      <c r="K775" s="59"/>
      <c r="L775" s="59"/>
      <c r="M775" s="59"/>
      <c r="N775" s="59"/>
      <c r="O775" s="59"/>
    </row>
    <row r="776" spans="1:15" x14ac:dyDescent="0.25">
      <c r="A776" s="59"/>
      <c r="B776" s="59"/>
      <c r="F776" s="59"/>
      <c r="G776" s="59"/>
      <c r="H776" s="59"/>
      <c r="I776" s="59"/>
      <c r="J776" s="86"/>
      <c r="K776" s="59"/>
      <c r="L776" s="59"/>
      <c r="M776" s="59"/>
      <c r="N776" s="59"/>
      <c r="O776" s="59"/>
    </row>
    <row r="777" spans="1:15" x14ac:dyDescent="0.25">
      <c r="A777" s="59"/>
      <c r="B777" s="59"/>
      <c r="F777" s="59"/>
      <c r="G777" s="59"/>
      <c r="H777" s="59"/>
      <c r="I777" s="59"/>
      <c r="J777" s="86"/>
      <c r="K777" s="59"/>
      <c r="L777" s="59"/>
      <c r="M777" s="59"/>
      <c r="N777" s="59"/>
      <c r="O777" s="59"/>
    </row>
    <row r="778" spans="1:15" x14ac:dyDescent="0.25">
      <c r="A778" s="59"/>
      <c r="B778" s="59"/>
      <c r="F778" s="59"/>
      <c r="G778" s="59"/>
      <c r="H778" s="59"/>
      <c r="I778" s="59"/>
      <c r="J778" s="86"/>
      <c r="K778" s="59"/>
      <c r="L778" s="59"/>
      <c r="M778" s="59"/>
      <c r="N778" s="59"/>
      <c r="O778" s="59"/>
    </row>
    <row r="779" spans="1:15" x14ac:dyDescent="0.25">
      <c r="A779" s="59"/>
      <c r="B779" s="59"/>
      <c r="F779" s="59"/>
      <c r="G779" s="59"/>
      <c r="H779" s="59"/>
      <c r="I779" s="59"/>
      <c r="J779" s="86"/>
      <c r="K779" s="59"/>
      <c r="L779" s="59"/>
      <c r="M779" s="59"/>
      <c r="N779" s="59"/>
      <c r="O779" s="59"/>
    </row>
    <row r="780" spans="1:15" x14ac:dyDescent="0.25">
      <c r="A780" s="59"/>
      <c r="B780" s="59"/>
      <c r="F780" s="59"/>
      <c r="G780" s="59"/>
      <c r="H780" s="59"/>
      <c r="I780" s="59"/>
      <c r="J780" s="86"/>
      <c r="K780" s="59"/>
      <c r="L780" s="59"/>
      <c r="M780" s="59"/>
      <c r="N780" s="59"/>
      <c r="O780" s="59"/>
    </row>
    <row r="781" spans="1:15" x14ac:dyDescent="0.25">
      <c r="A781" s="59"/>
      <c r="B781" s="59"/>
      <c r="F781" s="59"/>
      <c r="G781" s="59"/>
      <c r="H781" s="59"/>
      <c r="I781" s="59"/>
      <c r="J781" s="86"/>
      <c r="K781" s="59"/>
      <c r="L781" s="59"/>
      <c r="M781" s="59"/>
      <c r="N781" s="59"/>
      <c r="O781" s="59"/>
    </row>
    <row r="782" spans="1:15" x14ac:dyDescent="0.25">
      <c r="A782" s="59"/>
      <c r="B782" s="59"/>
      <c r="F782" s="59"/>
      <c r="G782" s="59"/>
      <c r="H782" s="59"/>
      <c r="I782" s="59"/>
      <c r="J782" s="86"/>
      <c r="K782" s="59"/>
      <c r="L782" s="59"/>
      <c r="M782" s="59"/>
      <c r="N782" s="59"/>
      <c r="O782" s="59"/>
    </row>
    <row r="783" spans="1:15" x14ac:dyDescent="0.25">
      <c r="A783" s="59"/>
      <c r="B783" s="59"/>
      <c r="F783" s="59"/>
      <c r="G783" s="59"/>
      <c r="H783" s="59"/>
      <c r="I783" s="59"/>
      <c r="J783" s="86"/>
      <c r="K783" s="59"/>
      <c r="L783" s="59"/>
      <c r="M783" s="59"/>
      <c r="N783" s="59"/>
      <c r="O783" s="59"/>
    </row>
    <row r="784" spans="1:15" x14ac:dyDescent="0.25">
      <c r="A784" s="59"/>
      <c r="B784" s="59"/>
      <c r="F784" s="59"/>
      <c r="G784" s="59"/>
      <c r="H784" s="59"/>
      <c r="I784" s="59"/>
      <c r="J784" s="86"/>
      <c r="K784" s="59"/>
      <c r="L784" s="59"/>
      <c r="M784" s="59"/>
      <c r="N784" s="59"/>
      <c r="O784" s="59"/>
    </row>
    <row r="785" spans="1:15" x14ac:dyDescent="0.25">
      <c r="A785" s="59"/>
      <c r="B785" s="59"/>
      <c r="F785" s="59"/>
      <c r="G785" s="59"/>
      <c r="H785" s="59"/>
      <c r="I785" s="59"/>
      <c r="J785" s="86"/>
      <c r="K785" s="59"/>
      <c r="L785" s="59"/>
      <c r="M785" s="59"/>
      <c r="N785" s="59"/>
      <c r="O785" s="59"/>
    </row>
    <row r="786" spans="1:15" x14ac:dyDescent="0.25">
      <c r="A786" s="59"/>
      <c r="B786" s="59"/>
      <c r="F786" s="59"/>
      <c r="G786" s="59"/>
      <c r="H786" s="59"/>
      <c r="I786" s="59"/>
      <c r="J786" s="86"/>
      <c r="K786" s="59"/>
      <c r="L786" s="59"/>
      <c r="M786" s="59"/>
      <c r="N786" s="59"/>
      <c r="O786" s="59"/>
    </row>
    <row r="787" spans="1:15" x14ac:dyDescent="0.25">
      <c r="A787" s="59"/>
      <c r="B787" s="59"/>
      <c r="F787" s="59"/>
      <c r="G787" s="59"/>
      <c r="H787" s="59"/>
      <c r="I787" s="59"/>
      <c r="J787" s="86"/>
      <c r="K787" s="59"/>
      <c r="L787" s="59"/>
      <c r="M787" s="59"/>
      <c r="N787" s="59"/>
      <c r="O787" s="59"/>
    </row>
    <row r="788" spans="1:15" x14ac:dyDescent="0.25">
      <c r="A788" s="59"/>
      <c r="B788" s="59"/>
      <c r="F788" s="59"/>
      <c r="G788" s="59"/>
      <c r="H788" s="59"/>
      <c r="I788" s="59"/>
      <c r="J788" s="86"/>
      <c r="K788" s="59"/>
      <c r="L788" s="59"/>
      <c r="M788" s="59"/>
      <c r="N788" s="59"/>
      <c r="O788" s="59"/>
    </row>
    <row r="789" spans="1:15" x14ac:dyDescent="0.25">
      <c r="A789" s="59"/>
      <c r="B789" s="59"/>
      <c r="F789" s="59"/>
      <c r="G789" s="59"/>
      <c r="H789" s="59"/>
      <c r="I789" s="59"/>
      <c r="J789" s="86"/>
      <c r="K789" s="59"/>
      <c r="L789" s="59"/>
      <c r="M789" s="59"/>
      <c r="N789" s="59"/>
      <c r="O789" s="59"/>
    </row>
    <row r="790" spans="1:15" x14ac:dyDescent="0.25">
      <c r="A790"/>
      <c r="B790"/>
      <c r="C790"/>
      <c r="D790"/>
      <c r="E790"/>
      <c r="F790"/>
      <c r="G790"/>
      <c r="H790"/>
      <c r="I790"/>
      <c r="J790" s="84"/>
      <c r="K790"/>
      <c r="L790"/>
      <c r="M790"/>
      <c r="N790"/>
      <c r="O790"/>
    </row>
    <row r="791" spans="1:15" x14ac:dyDescent="0.25">
      <c r="A791"/>
      <c r="B791"/>
      <c r="C791"/>
      <c r="D791"/>
      <c r="E791"/>
      <c r="F791"/>
      <c r="G791"/>
      <c r="H791"/>
      <c r="I791"/>
      <c r="J791" s="84"/>
      <c r="K791"/>
      <c r="L791"/>
      <c r="M791"/>
      <c r="N791"/>
      <c r="O791"/>
    </row>
    <row r="792" spans="1:15" x14ac:dyDescent="0.25">
      <c r="A792"/>
      <c r="B792"/>
      <c r="C792"/>
      <c r="D792"/>
      <c r="E792"/>
      <c r="F792"/>
      <c r="G792"/>
      <c r="H792"/>
      <c r="I792"/>
      <c r="J792" s="84"/>
      <c r="K792"/>
      <c r="L792"/>
      <c r="M792"/>
      <c r="N792"/>
      <c r="O792"/>
    </row>
    <row r="793" spans="1:15" x14ac:dyDescent="0.25">
      <c r="A793"/>
      <c r="B793"/>
      <c r="C793"/>
      <c r="D793"/>
      <c r="E793"/>
      <c r="F793"/>
      <c r="G793"/>
      <c r="H793"/>
      <c r="I793"/>
      <c r="J793" s="84"/>
      <c r="K793"/>
      <c r="L793"/>
      <c r="M793"/>
      <c r="N793"/>
      <c r="O793"/>
    </row>
    <row r="794" spans="1:15" x14ac:dyDescent="0.25">
      <c r="A794"/>
      <c r="B794"/>
      <c r="C794"/>
      <c r="D794"/>
      <c r="E794"/>
      <c r="F794"/>
      <c r="G794"/>
      <c r="H794"/>
      <c r="I794"/>
      <c r="J794" s="84"/>
      <c r="K794"/>
      <c r="L794"/>
      <c r="M794"/>
      <c r="N794"/>
      <c r="O794"/>
    </row>
    <row r="795" spans="1:15" x14ac:dyDescent="0.25">
      <c r="A795"/>
      <c r="B795"/>
      <c r="C795"/>
      <c r="D795"/>
      <c r="E795"/>
      <c r="F795"/>
      <c r="G795"/>
      <c r="H795"/>
      <c r="I795"/>
      <c r="J795" s="84"/>
      <c r="K795"/>
      <c r="L795"/>
      <c r="M795"/>
      <c r="N795"/>
      <c r="O795"/>
    </row>
    <row r="796" spans="1:15" x14ac:dyDescent="0.25">
      <c r="A796"/>
      <c r="B796"/>
      <c r="C796"/>
      <c r="D796"/>
      <c r="E796"/>
      <c r="F796"/>
      <c r="G796"/>
      <c r="H796"/>
      <c r="I796"/>
      <c r="J796" s="84"/>
      <c r="K796"/>
      <c r="L796"/>
      <c r="M796"/>
      <c r="N796"/>
      <c r="O796"/>
    </row>
    <row r="797" spans="1:15" x14ac:dyDescent="0.25">
      <c r="A797"/>
      <c r="B797"/>
      <c r="C797"/>
      <c r="D797"/>
      <c r="E797"/>
      <c r="F797"/>
      <c r="G797"/>
      <c r="H797"/>
      <c r="I797"/>
      <c r="J797" s="84"/>
      <c r="K797"/>
      <c r="L797"/>
      <c r="M797"/>
      <c r="N797"/>
      <c r="O797"/>
    </row>
    <row r="798" spans="1:15" x14ac:dyDescent="0.25">
      <c r="A798"/>
      <c r="B798"/>
      <c r="C798"/>
      <c r="D798"/>
      <c r="E798"/>
      <c r="F798"/>
      <c r="G798"/>
      <c r="H798"/>
      <c r="I798"/>
      <c r="J798" s="84"/>
      <c r="K798"/>
      <c r="L798"/>
      <c r="M798"/>
      <c r="N798"/>
      <c r="O798"/>
    </row>
    <row r="799" spans="1:15" x14ac:dyDescent="0.25">
      <c r="A799"/>
      <c r="B799"/>
      <c r="C799"/>
      <c r="D799"/>
      <c r="E799"/>
      <c r="F799"/>
      <c r="G799"/>
      <c r="H799"/>
      <c r="I799"/>
      <c r="J799" s="84"/>
      <c r="K799"/>
      <c r="L799"/>
      <c r="M799"/>
      <c r="N799"/>
      <c r="O799"/>
    </row>
    <row r="800" spans="1:15" x14ac:dyDescent="0.25">
      <c r="A800"/>
      <c r="B800"/>
      <c r="C800"/>
      <c r="D800"/>
      <c r="E800"/>
      <c r="F800"/>
      <c r="G800"/>
      <c r="H800"/>
      <c r="I800"/>
      <c r="J800" s="84"/>
      <c r="K800"/>
      <c r="L800"/>
      <c r="M800"/>
      <c r="N800"/>
      <c r="O800"/>
    </row>
    <row r="801" spans="1:15" x14ac:dyDescent="0.25">
      <c r="A801"/>
      <c r="B801"/>
      <c r="C801"/>
      <c r="D801"/>
      <c r="E801"/>
      <c r="F801"/>
      <c r="G801"/>
      <c r="H801"/>
      <c r="I801"/>
      <c r="J801" s="84"/>
      <c r="K801"/>
      <c r="L801"/>
      <c r="M801"/>
      <c r="N801"/>
      <c r="O801"/>
    </row>
    <row r="802" spans="1:15" x14ac:dyDescent="0.25">
      <c r="A802"/>
      <c r="B802"/>
      <c r="C802"/>
      <c r="D802"/>
      <c r="E802"/>
      <c r="F802"/>
      <c r="G802"/>
      <c r="H802"/>
      <c r="I802"/>
      <c r="J802" s="84"/>
      <c r="K802"/>
      <c r="L802"/>
      <c r="M802"/>
      <c r="N802"/>
      <c r="O802"/>
    </row>
    <row r="803" spans="1:15" x14ac:dyDescent="0.25">
      <c r="A803"/>
      <c r="B803"/>
      <c r="C803"/>
      <c r="D803"/>
      <c r="E803"/>
      <c r="F803"/>
      <c r="G803"/>
      <c r="H803"/>
      <c r="I803"/>
      <c r="J803" s="84"/>
      <c r="K803"/>
      <c r="L803"/>
      <c r="M803"/>
      <c r="N803"/>
      <c r="O803"/>
    </row>
    <row r="804" spans="1:15" x14ac:dyDescent="0.25">
      <c r="A804"/>
      <c r="B804"/>
      <c r="C804"/>
      <c r="D804"/>
      <c r="E804"/>
      <c r="F804"/>
      <c r="G804"/>
      <c r="H804"/>
      <c r="I804"/>
      <c r="J804" s="84"/>
      <c r="K804"/>
      <c r="L804"/>
      <c r="M804"/>
      <c r="N804"/>
      <c r="O804"/>
    </row>
    <row r="805" spans="1:15" x14ac:dyDescent="0.25">
      <c r="A805"/>
      <c r="B805"/>
      <c r="C805"/>
      <c r="D805"/>
      <c r="E805"/>
      <c r="F805"/>
      <c r="G805"/>
      <c r="H805"/>
      <c r="I805"/>
      <c r="J805" s="84"/>
      <c r="K805"/>
      <c r="L805"/>
      <c r="M805"/>
      <c r="N805"/>
      <c r="O805"/>
    </row>
    <row r="806" spans="1:15" x14ac:dyDescent="0.25">
      <c r="A806"/>
      <c r="B806"/>
      <c r="C806"/>
      <c r="D806"/>
      <c r="E806"/>
      <c r="F806"/>
      <c r="G806"/>
      <c r="H806"/>
      <c r="I806"/>
      <c r="J806" s="84"/>
      <c r="K806"/>
      <c r="L806"/>
      <c r="M806"/>
      <c r="N806"/>
      <c r="O806"/>
    </row>
    <row r="807" spans="1:15" x14ac:dyDescent="0.25">
      <c r="A807"/>
      <c r="B807"/>
      <c r="C807"/>
      <c r="D807"/>
      <c r="E807"/>
      <c r="F807"/>
      <c r="G807"/>
      <c r="H807"/>
      <c r="I807"/>
      <c r="J807" s="84"/>
      <c r="K807"/>
      <c r="L807"/>
      <c r="M807"/>
      <c r="N807"/>
      <c r="O807"/>
    </row>
    <row r="808" spans="1:15" x14ac:dyDescent="0.25">
      <c r="A808"/>
      <c r="B808"/>
      <c r="C808"/>
      <c r="D808"/>
      <c r="E808"/>
      <c r="F808"/>
      <c r="G808"/>
      <c r="H808"/>
      <c r="I808"/>
      <c r="J808" s="84"/>
      <c r="K808"/>
      <c r="L808"/>
      <c r="M808"/>
      <c r="N808"/>
      <c r="O808"/>
    </row>
    <row r="809" spans="1:15" x14ac:dyDescent="0.25">
      <c r="A809"/>
      <c r="B809"/>
      <c r="C809"/>
      <c r="D809"/>
      <c r="E809"/>
      <c r="F809"/>
      <c r="G809"/>
      <c r="H809"/>
      <c r="I809"/>
      <c r="J809" s="84"/>
      <c r="K809"/>
      <c r="L809"/>
      <c r="M809"/>
      <c r="N809"/>
      <c r="O809"/>
    </row>
    <row r="810" spans="1:15" x14ac:dyDescent="0.25">
      <c r="A810"/>
      <c r="B810"/>
      <c r="C810"/>
      <c r="D810"/>
      <c r="E810"/>
      <c r="F810"/>
      <c r="G810"/>
      <c r="H810"/>
      <c r="I810"/>
      <c r="J810" s="84"/>
      <c r="K810"/>
      <c r="L810"/>
      <c r="M810"/>
      <c r="N810"/>
      <c r="O810"/>
    </row>
    <row r="811" spans="1:15" x14ac:dyDescent="0.25">
      <c r="A811"/>
      <c r="B811"/>
      <c r="C811"/>
      <c r="D811"/>
      <c r="E811"/>
      <c r="F811"/>
      <c r="G811"/>
      <c r="H811"/>
      <c r="I811"/>
      <c r="J811" s="84"/>
      <c r="K811"/>
      <c r="L811"/>
      <c r="M811"/>
      <c r="N811"/>
      <c r="O811"/>
    </row>
    <row r="812" spans="1:15" x14ac:dyDescent="0.25">
      <c r="A812"/>
      <c r="B812"/>
      <c r="C812"/>
      <c r="D812"/>
      <c r="E812"/>
      <c r="F812"/>
      <c r="G812"/>
      <c r="H812"/>
      <c r="I812"/>
      <c r="J812" s="84"/>
      <c r="K812"/>
      <c r="L812"/>
      <c r="M812"/>
      <c r="N812"/>
      <c r="O812"/>
    </row>
    <row r="813" spans="1:15" x14ac:dyDescent="0.25">
      <c r="A813"/>
      <c r="B813"/>
      <c r="C813"/>
      <c r="D813"/>
      <c r="E813"/>
      <c r="F813"/>
      <c r="G813"/>
      <c r="H813"/>
      <c r="I813"/>
      <c r="J813" s="84"/>
      <c r="K813"/>
      <c r="L813"/>
      <c r="M813"/>
      <c r="N813"/>
      <c r="O813"/>
    </row>
    <row r="814" spans="1:15" x14ac:dyDescent="0.25">
      <c r="A814"/>
      <c r="B814"/>
      <c r="C814"/>
      <c r="D814"/>
      <c r="E814"/>
      <c r="F814"/>
      <c r="G814"/>
      <c r="H814"/>
      <c r="I814"/>
      <c r="J814" s="84"/>
      <c r="K814"/>
      <c r="L814"/>
      <c r="M814"/>
      <c r="N814"/>
      <c r="O814"/>
    </row>
    <row r="815" spans="1:15" x14ac:dyDescent="0.25">
      <c r="A815"/>
      <c r="B815"/>
      <c r="C815"/>
      <c r="D815"/>
      <c r="E815"/>
      <c r="F815"/>
      <c r="G815"/>
      <c r="H815"/>
      <c r="I815"/>
      <c r="J815" s="84"/>
      <c r="K815"/>
      <c r="L815"/>
      <c r="M815"/>
      <c r="N815"/>
      <c r="O815"/>
    </row>
    <row r="816" spans="1:15" x14ac:dyDescent="0.25">
      <c r="A816"/>
      <c r="B816"/>
      <c r="C816"/>
      <c r="D816"/>
      <c r="E816"/>
      <c r="F816"/>
      <c r="G816"/>
      <c r="H816"/>
      <c r="I816"/>
      <c r="J816" s="84"/>
      <c r="K816"/>
      <c r="L816"/>
      <c r="M816"/>
      <c r="N816"/>
      <c r="O816"/>
    </row>
    <row r="817" spans="1:15" x14ac:dyDescent="0.25">
      <c r="A817"/>
      <c r="B817"/>
      <c r="C817"/>
      <c r="D817"/>
      <c r="E817"/>
      <c r="F817"/>
      <c r="G817"/>
      <c r="H817"/>
      <c r="I817"/>
      <c r="J817" s="84"/>
      <c r="K817"/>
      <c r="L817"/>
      <c r="M817"/>
      <c r="N817"/>
      <c r="O817"/>
    </row>
    <row r="818" spans="1:15" x14ac:dyDescent="0.25">
      <c r="A818"/>
      <c r="B818"/>
      <c r="C818"/>
      <c r="D818"/>
      <c r="E818"/>
      <c r="F818"/>
      <c r="G818"/>
      <c r="H818"/>
      <c r="I818"/>
      <c r="J818" s="84"/>
      <c r="K818"/>
      <c r="L818"/>
      <c r="M818"/>
      <c r="N818"/>
      <c r="O818"/>
    </row>
    <row r="819" spans="1:15" x14ac:dyDescent="0.25">
      <c r="A819"/>
      <c r="B819"/>
      <c r="C819"/>
      <c r="D819"/>
      <c r="E819"/>
      <c r="F819"/>
      <c r="G819"/>
      <c r="H819"/>
      <c r="I819"/>
      <c r="J819" s="84"/>
      <c r="K819"/>
      <c r="L819"/>
      <c r="M819"/>
      <c r="N819"/>
      <c r="O819"/>
    </row>
    <row r="820" spans="1:15" x14ac:dyDescent="0.25">
      <c r="A820"/>
      <c r="B820"/>
      <c r="C820"/>
      <c r="D820"/>
      <c r="E820"/>
      <c r="F820"/>
      <c r="G820"/>
      <c r="H820"/>
      <c r="I820"/>
      <c r="J820" s="84"/>
      <c r="K820"/>
      <c r="L820"/>
      <c r="M820"/>
      <c r="N820"/>
      <c r="O820"/>
    </row>
    <row r="821" spans="1:15" x14ac:dyDescent="0.25">
      <c r="A821"/>
      <c r="B821"/>
      <c r="C821"/>
      <c r="D821"/>
      <c r="E821"/>
      <c r="F821"/>
      <c r="G821"/>
      <c r="H821"/>
      <c r="I821"/>
      <c r="J821" s="84"/>
      <c r="K821"/>
      <c r="L821"/>
      <c r="M821"/>
      <c r="N821"/>
      <c r="O821"/>
    </row>
    <row r="822" spans="1:15" x14ac:dyDescent="0.25">
      <c r="A822"/>
      <c r="B822"/>
      <c r="C822"/>
      <c r="D822"/>
      <c r="E822"/>
      <c r="F822"/>
      <c r="G822"/>
      <c r="H822"/>
      <c r="I822"/>
      <c r="J822" s="84"/>
      <c r="K822"/>
      <c r="L822"/>
      <c r="M822"/>
      <c r="N822"/>
      <c r="O822"/>
    </row>
    <row r="823" spans="1:15" x14ac:dyDescent="0.25">
      <c r="A823"/>
      <c r="B823"/>
      <c r="C823"/>
      <c r="D823"/>
      <c r="E823"/>
      <c r="F823"/>
      <c r="G823"/>
      <c r="H823"/>
      <c r="I823"/>
      <c r="J823" s="84"/>
      <c r="K823"/>
      <c r="L823"/>
      <c r="M823"/>
      <c r="N823"/>
      <c r="O823"/>
    </row>
    <row r="824" spans="1:15" x14ac:dyDescent="0.25">
      <c r="A824"/>
      <c r="B824"/>
      <c r="C824"/>
      <c r="D824"/>
      <c r="E824"/>
      <c r="F824"/>
      <c r="G824"/>
      <c r="H824"/>
      <c r="I824"/>
      <c r="J824" s="84"/>
      <c r="K824"/>
      <c r="L824"/>
      <c r="M824"/>
      <c r="N824"/>
      <c r="O824"/>
    </row>
    <row r="825" spans="1:15" x14ac:dyDescent="0.25">
      <c r="A825"/>
      <c r="B825"/>
      <c r="C825"/>
      <c r="D825"/>
      <c r="E825"/>
      <c r="F825"/>
      <c r="G825"/>
      <c r="H825"/>
      <c r="I825"/>
      <c r="J825" s="84"/>
      <c r="K825"/>
      <c r="L825"/>
      <c r="M825"/>
      <c r="N825"/>
      <c r="O825"/>
    </row>
    <row r="826" spans="1:15" x14ac:dyDescent="0.25">
      <c r="A826"/>
      <c r="B826"/>
      <c r="C826"/>
      <c r="D826"/>
      <c r="E826"/>
      <c r="F826"/>
      <c r="G826"/>
      <c r="H826"/>
      <c r="I826"/>
      <c r="J826" s="84"/>
      <c r="K826"/>
      <c r="L826"/>
      <c r="M826"/>
      <c r="N826"/>
      <c r="O826"/>
    </row>
    <row r="827" spans="1:15" x14ac:dyDescent="0.25">
      <c r="A827"/>
      <c r="B827"/>
      <c r="C827"/>
      <c r="D827"/>
      <c r="E827"/>
      <c r="F827"/>
      <c r="G827"/>
      <c r="H827"/>
      <c r="I827"/>
      <c r="J827" s="84"/>
      <c r="K827"/>
      <c r="L827"/>
      <c r="M827"/>
      <c r="N827"/>
      <c r="O827"/>
    </row>
    <row r="828" spans="1:15" x14ac:dyDescent="0.25">
      <c r="A828"/>
      <c r="B828"/>
      <c r="C828"/>
      <c r="D828"/>
      <c r="E828"/>
      <c r="F828"/>
      <c r="G828"/>
      <c r="H828"/>
      <c r="I828"/>
      <c r="J828" s="84"/>
      <c r="K828"/>
      <c r="L828"/>
      <c r="M828"/>
      <c r="N828"/>
      <c r="O828"/>
    </row>
    <row r="829" spans="1:15" x14ac:dyDescent="0.25">
      <c r="A829"/>
      <c r="B829"/>
      <c r="C829"/>
      <c r="D829"/>
      <c r="E829"/>
      <c r="F829"/>
      <c r="G829"/>
      <c r="H829"/>
      <c r="I829"/>
      <c r="J829" s="84"/>
      <c r="K829"/>
      <c r="L829"/>
      <c r="M829"/>
      <c r="N829"/>
      <c r="O829"/>
    </row>
    <row r="830" spans="1:15" x14ac:dyDescent="0.25">
      <c r="A830"/>
      <c r="B830"/>
      <c r="C830"/>
      <c r="D830"/>
      <c r="E830"/>
      <c r="F830"/>
      <c r="G830"/>
      <c r="H830"/>
      <c r="I830"/>
      <c r="J830" s="84"/>
      <c r="K830"/>
      <c r="L830"/>
      <c r="M830"/>
      <c r="N830"/>
      <c r="O830"/>
    </row>
    <row r="831" spans="1:15" x14ac:dyDescent="0.25">
      <c r="A831"/>
      <c r="B831"/>
      <c r="C831"/>
      <c r="D831"/>
      <c r="E831"/>
      <c r="F831"/>
      <c r="G831"/>
      <c r="H831"/>
      <c r="I831"/>
      <c r="J831" s="84"/>
      <c r="K831"/>
      <c r="L831"/>
      <c r="M831"/>
      <c r="N831"/>
      <c r="O831"/>
    </row>
    <row r="832" spans="1:15" x14ac:dyDescent="0.25">
      <c r="A832"/>
      <c r="B832"/>
      <c r="C832"/>
      <c r="D832"/>
      <c r="E832"/>
      <c r="F832"/>
      <c r="G832"/>
      <c r="H832"/>
      <c r="I832"/>
      <c r="J832" s="84"/>
      <c r="K832"/>
      <c r="L832"/>
      <c r="M832"/>
      <c r="N832"/>
      <c r="O832"/>
    </row>
    <row r="833" spans="1:15" x14ac:dyDescent="0.25">
      <c r="A833"/>
      <c r="B833"/>
      <c r="C833"/>
      <c r="D833"/>
      <c r="E833"/>
      <c r="F833"/>
      <c r="G833"/>
      <c r="H833"/>
      <c r="I833"/>
      <c r="J833" s="84"/>
      <c r="K833"/>
      <c r="L833"/>
      <c r="M833"/>
      <c r="N833"/>
      <c r="O833"/>
    </row>
    <row r="834" spans="1:15" x14ac:dyDescent="0.25">
      <c r="A834"/>
      <c r="B834"/>
      <c r="C834"/>
      <c r="D834"/>
      <c r="E834"/>
      <c r="F834"/>
      <c r="G834"/>
      <c r="H834"/>
      <c r="I834"/>
      <c r="J834" s="84"/>
      <c r="K834"/>
      <c r="L834"/>
      <c r="M834"/>
      <c r="N834"/>
      <c r="O834"/>
    </row>
    <row r="835" spans="1:15" x14ac:dyDescent="0.25">
      <c r="A835"/>
      <c r="B835"/>
      <c r="C835"/>
      <c r="D835"/>
      <c r="E835"/>
      <c r="F835"/>
      <c r="G835"/>
      <c r="H835"/>
      <c r="I835"/>
      <c r="J835" s="84"/>
      <c r="K835"/>
      <c r="L835"/>
      <c r="M835"/>
      <c r="N835"/>
      <c r="O835"/>
    </row>
    <row r="836" spans="1:15" x14ac:dyDescent="0.25">
      <c r="A836"/>
      <c r="B836"/>
      <c r="C836"/>
      <c r="D836"/>
      <c r="E836"/>
      <c r="F836"/>
      <c r="G836"/>
      <c r="H836"/>
      <c r="I836"/>
      <c r="J836" s="84"/>
      <c r="K836"/>
      <c r="L836"/>
      <c r="M836"/>
      <c r="N836"/>
      <c r="O836"/>
    </row>
    <row r="837" spans="1:15" x14ac:dyDescent="0.25">
      <c r="A837"/>
      <c r="B837"/>
      <c r="C837"/>
      <c r="D837"/>
      <c r="E837"/>
      <c r="F837"/>
      <c r="G837"/>
      <c r="H837"/>
      <c r="I837"/>
      <c r="J837" s="84"/>
      <c r="K837"/>
      <c r="L837"/>
      <c r="M837"/>
      <c r="N837"/>
      <c r="O837"/>
    </row>
    <row r="838" spans="1:15" x14ac:dyDescent="0.25">
      <c r="A838"/>
      <c r="B838"/>
      <c r="C838"/>
      <c r="D838"/>
      <c r="E838"/>
      <c r="F838"/>
      <c r="G838"/>
      <c r="H838"/>
      <c r="I838"/>
      <c r="J838" s="84"/>
      <c r="K838"/>
      <c r="L838"/>
      <c r="M838"/>
      <c r="N838"/>
      <c r="O838"/>
    </row>
    <row r="839" spans="1:15" x14ac:dyDescent="0.25">
      <c r="A839"/>
      <c r="B839"/>
      <c r="C839"/>
      <c r="D839"/>
      <c r="E839"/>
      <c r="F839"/>
      <c r="G839"/>
      <c r="H839"/>
      <c r="I839"/>
      <c r="J839" s="84"/>
      <c r="K839"/>
      <c r="L839"/>
      <c r="M839"/>
      <c r="N839"/>
      <c r="O839"/>
    </row>
    <row r="840" spans="1:15" x14ac:dyDescent="0.25">
      <c r="A840"/>
      <c r="B840"/>
      <c r="C840"/>
      <c r="D840"/>
      <c r="E840"/>
      <c r="F840"/>
      <c r="G840"/>
      <c r="H840"/>
      <c r="I840"/>
      <c r="J840" s="84"/>
      <c r="K840"/>
      <c r="L840"/>
      <c r="M840"/>
      <c r="N840"/>
      <c r="O840"/>
    </row>
    <row r="841" spans="1:15" x14ac:dyDescent="0.25">
      <c r="A841"/>
      <c r="B841"/>
      <c r="C841"/>
      <c r="D841"/>
      <c r="E841"/>
      <c r="F841"/>
      <c r="G841"/>
      <c r="H841"/>
      <c r="I841"/>
      <c r="J841" s="84"/>
      <c r="K841"/>
      <c r="L841"/>
      <c r="M841"/>
      <c r="N841"/>
      <c r="O841"/>
    </row>
    <row r="842" spans="1:15" x14ac:dyDescent="0.25">
      <c r="A842"/>
      <c r="B842"/>
      <c r="C842"/>
      <c r="D842"/>
      <c r="E842"/>
      <c r="F842"/>
      <c r="G842"/>
      <c r="H842"/>
      <c r="I842"/>
      <c r="J842" s="84"/>
      <c r="K842"/>
      <c r="L842"/>
      <c r="M842"/>
      <c r="N842"/>
      <c r="O842"/>
    </row>
    <row r="843" spans="1:15" x14ac:dyDescent="0.25">
      <c r="A843"/>
      <c r="B843"/>
      <c r="C843"/>
      <c r="D843"/>
      <c r="E843"/>
      <c r="F843"/>
      <c r="G843"/>
      <c r="H843"/>
      <c r="I843"/>
      <c r="J843" s="84"/>
      <c r="K843"/>
      <c r="L843"/>
      <c r="M843"/>
      <c r="N843"/>
      <c r="O843"/>
    </row>
    <row r="844" spans="1:15" x14ac:dyDescent="0.25">
      <c r="A844"/>
      <c r="B844"/>
      <c r="C844"/>
      <c r="D844"/>
      <c r="E844"/>
      <c r="F844"/>
      <c r="G844"/>
      <c r="H844"/>
      <c r="I844"/>
      <c r="J844" s="84"/>
      <c r="K844"/>
      <c r="L844"/>
      <c r="M844"/>
      <c r="N844"/>
      <c r="O844"/>
    </row>
    <row r="845" spans="1:15" x14ac:dyDescent="0.25">
      <c r="A845"/>
      <c r="B845"/>
      <c r="C845"/>
      <c r="D845"/>
      <c r="E845"/>
      <c r="F845"/>
      <c r="G845"/>
      <c r="H845"/>
      <c r="I845"/>
      <c r="J845" s="84"/>
      <c r="K845"/>
      <c r="L845"/>
      <c r="M845"/>
      <c r="N845"/>
      <c r="O845"/>
    </row>
    <row r="846" spans="1:15" x14ac:dyDescent="0.25">
      <c r="A846"/>
      <c r="B846"/>
      <c r="C846"/>
      <c r="D846"/>
      <c r="E846"/>
      <c r="F846"/>
      <c r="G846"/>
      <c r="H846"/>
      <c r="I846"/>
      <c r="J846" s="84"/>
      <c r="K846"/>
      <c r="L846"/>
      <c r="M846"/>
      <c r="N846"/>
      <c r="O846"/>
    </row>
    <row r="847" spans="1:15" x14ac:dyDescent="0.25">
      <c r="A847"/>
      <c r="B847"/>
      <c r="C847"/>
      <c r="D847"/>
      <c r="E847"/>
      <c r="F847"/>
      <c r="G847"/>
      <c r="H847"/>
      <c r="I847"/>
      <c r="J847" s="84"/>
      <c r="K847"/>
      <c r="L847"/>
      <c r="M847"/>
      <c r="N847"/>
      <c r="O847"/>
    </row>
    <row r="848" spans="1:15" x14ac:dyDescent="0.25">
      <c r="A848"/>
      <c r="B848"/>
      <c r="C848"/>
      <c r="D848"/>
      <c r="E848"/>
      <c r="F848"/>
      <c r="G848"/>
      <c r="H848"/>
      <c r="I848"/>
      <c r="J848" s="84"/>
      <c r="K848"/>
      <c r="L848"/>
      <c r="M848"/>
      <c r="N848"/>
      <c r="O848"/>
    </row>
    <row r="849" spans="1:15" x14ac:dyDescent="0.25">
      <c r="A849"/>
      <c r="B849"/>
      <c r="C849"/>
      <c r="D849"/>
      <c r="E849"/>
      <c r="F849"/>
      <c r="G849"/>
      <c r="H849"/>
      <c r="I849"/>
      <c r="J849" s="84"/>
      <c r="K849"/>
      <c r="L849"/>
      <c r="M849"/>
      <c r="N849"/>
      <c r="O849"/>
    </row>
    <row r="850" spans="1:15" x14ac:dyDescent="0.25">
      <c r="A850"/>
      <c r="B850"/>
      <c r="C850"/>
      <c r="D850"/>
      <c r="E850"/>
      <c r="F850"/>
      <c r="G850"/>
      <c r="H850"/>
      <c r="I850"/>
      <c r="J850" s="84"/>
      <c r="K850"/>
      <c r="L850"/>
      <c r="M850"/>
      <c r="N850"/>
      <c r="O850"/>
    </row>
    <row r="851" spans="1:15" x14ac:dyDescent="0.25">
      <c r="A851"/>
      <c r="B851"/>
      <c r="C851"/>
      <c r="D851"/>
      <c r="E851"/>
      <c r="F851"/>
      <c r="G851"/>
      <c r="H851"/>
      <c r="I851"/>
      <c r="J851" s="84"/>
      <c r="K851"/>
      <c r="L851"/>
      <c r="M851"/>
      <c r="N851"/>
      <c r="O851"/>
    </row>
    <row r="852" spans="1:15" x14ac:dyDescent="0.25">
      <c r="A852"/>
      <c r="B852"/>
      <c r="C852"/>
      <c r="D852"/>
      <c r="E852"/>
      <c r="F852"/>
      <c r="G852"/>
      <c r="H852"/>
      <c r="I852"/>
      <c r="J852" s="84"/>
      <c r="K852"/>
      <c r="L852"/>
      <c r="M852"/>
      <c r="N852"/>
      <c r="O852"/>
    </row>
    <row r="853" spans="1:15" x14ac:dyDescent="0.25">
      <c r="A853"/>
      <c r="B853"/>
      <c r="C853"/>
      <c r="D853"/>
      <c r="E853"/>
      <c r="F853"/>
      <c r="G853"/>
      <c r="H853"/>
      <c r="I853"/>
      <c r="J853" s="84"/>
      <c r="K853"/>
      <c r="L853"/>
      <c r="M853"/>
      <c r="N853"/>
      <c r="O853"/>
    </row>
    <row r="854" spans="1:15" x14ac:dyDescent="0.25">
      <c r="A854"/>
      <c r="B854"/>
      <c r="C854"/>
      <c r="D854"/>
      <c r="E854"/>
      <c r="F854"/>
      <c r="G854"/>
      <c r="H854"/>
      <c r="I854"/>
      <c r="J854" s="84"/>
      <c r="K854"/>
      <c r="L854"/>
      <c r="M854"/>
      <c r="N854"/>
      <c r="O854"/>
    </row>
    <row r="855" spans="1:15" x14ac:dyDescent="0.25">
      <c r="A855"/>
      <c r="B855"/>
      <c r="C855"/>
      <c r="D855"/>
      <c r="E855"/>
      <c r="F855"/>
      <c r="G855"/>
      <c r="H855"/>
      <c r="I855"/>
      <c r="J855" s="84"/>
      <c r="K855"/>
      <c r="L855"/>
      <c r="M855"/>
      <c r="N855"/>
      <c r="O855"/>
    </row>
    <row r="856" spans="1:15" x14ac:dyDescent="0.25">
      <c r="A856"/>
      <c r="B856"/>
      <c r="C856"/>
      <c r="D856"/>
      <c r="E856"/>
      <c r="F856"/>
      <c r="G856"/>
      <c r="H856"/>
      <c r="I856"/>
      <c r="J856" s="84"/>
      <c r="K856"/>
      <c r="L856"/>
      <c r="M856"/>
      <c r="N856"/>
      <c r="O856"/>
    </row>
    <row r="857" spans="1:15" x14ac:dyDescent="0.25">
      <c r="A857"/>
      <c r="B857"/>
      <c r="C857"/>
      <c r="D857"/>
      <c r="E857"/>
      <c r="F857"/>
      <c r="G857"/>
      <c r="H857"/>
      <c r="I857"/>
      <c r="J857" s="84"/>
      <c r="K857"/>
      <c r="L857"/>
      <c r="M857"/>
      <c r="N857"/>
      <c r="O857"/>
    </row>
    <row r="858" spans="1:15" x14ac:dyDescent="0.25">
      <c r="A858"/>
      <c r="B858"/>
      <c r="C858"/>
      <c r="D858"/>
      <c r="E858"/>
      <c r="F858"/>
      <c r="G858"/>
      <c r="H858"/>
      <c r="I858"/>
      <c r="J858" s="84"/>
      <c r="K858"/>
      <c r="L858"/>
      <c r="M858"/>
      <c r="N858"/>
      <c r="O858"/>
    </row>
    <row r="859" spans="1:15" x14ac:dyDescent="0.25">
      <c r="A859"/>
      <c r="B859"/>
      <c r="C859"/>
      <c r="D859"/>
      <c r="E859"/>
      <c r="F859"/>
      <c r="G859"/>
      <c r="H859"/>
      <c r="I859"/>
      <c r="J859" s="84"/>
      <c r="K859"/>
      <c r="L859"/>
      <c r="M859"/>
      <c r="N859"/>
      <c r="O859"/>
    </row>
    <row r="860" spans="1:15" x14ac:dyDescent="0.25">
      <c r="A860"/>
      <c r="B860"/>
      <c r="C860"/>
      <c r="D860"/>
      <c r="E860"/>
      <c r="F860"/>
      <c r="G860"/>
      <c r="H860"/>
      <c r="I860"/>
      <c r="J860" s="84"/>
      <c r="K860"/>
      <c r="L860"/>
      <c r="M860"/>
      <c r="N860"/>
      <c r="O860"/>
    </row>
    <row r="861" spans="1:15" x14ac:dyDescent="0.25">
      <c r="A861"/>
      <c r="B861"/>
      <c r="C861"/>
      <c r="D861"/>
      <c r="E861"/>
      <c r="F861"/>
      <c r="G861"/>
      <c r="H861"/>
      <c r="I861"/>
      <c r="J861" s="84"/>
      <c r="K861"/>
      <c r="L861"/>
      <c r="M861"/>
      <c r="N861"/>
      <c r="O861"/>
    </row>
    <row r="862" spans="1:15" x14ac:dyDescent="0.25">
      <c r="A862"/>
      <c r="B862"/>
      <c r="C862"/>
      <c r="D862"/>
      <c r="E862"/>
      <c r="F862"/>
      <c r="G862"/>
      <c r="H862"/>
      <c r="I862"/>
      <c r="J862" s="84"/>
      <c r="K862"/>
      <c r="L862"/>
      <c r="M862"/>
      <c r="N862"/>
      <c r="O862"/>
    </row>
    <row r="863" spans="1:15" x14ac:dyDescent="0.25">
      <c r="A863"/>
      <c r="B863"/>
      <c r="C863"/>
      <c r="D863"/>
      <c r="E863"/>
      <c r="F863"/>
      <c r="G863"/>
      <c r="H863"/>
      <c r="I863"/>
      <c r="J863" s="84"/>
      <c r="K863"/>
      <c r="L863"/>
      <c r="M863"/>
      <c r="N863"/>
      <c r="O863"/>
    </row>
    <row r="864" spans="1:15" x14ac:dyDescent="0.25">
      <c r="A864"/>
      <c r="B864"/>
      <c r="C864"/>
      <c r="D864"/>
      <c r="E864"/>
      <c r="F864"/>
      <c r="G864"/>
      <c r="H864"/>
      <c r="I864"/>
      <c r="J864" s="84"/>
      <c r="K864"/>
      <c r="L864"/>
      <c r="M864"/>
      <c r="N864"/>
      <c r="O864"/>
    </row>
    <row r="865" spans="1:15" x14ac:dyDescent="0.25">
      <c r="A865"/>
      <c r="B865"/>
      <c r="C865"/>
      <c r="D865"/>
      <c r="E865"/>
      <c r="F865"/>
      <c r="G865"/>
      <c r="H865"/>
      <c r="I865"/>
      <c r="J865" s="84"/>
      <c r="K865"/>
      <c r="L865"/>
      <c r="M865"/>
      <c r="N865"/>
      <c r="O865"/>
    </row>
    <row r="866" spans="1:15" x14ac:dyDescent="0.25">
      <c r="A866"/>
      <c r="B866"/>
      <c r="C866"/>
      <c r="D866"/>
      <c r="E866"/>
      <c r="F866"/>
      <c r="G866"/>
      <c r="H866"/>
      <c r="I866"/>
      <c r="J866" s="84"/>
      <c r="K866"/>
      <c r="L866"/>
      <c r="M866"/>
      <c r="N866"/>
      <c r="O866"/>
    </row>
    <row r="867" spans="1:15" x14ac:dyDescent="0.25">
      <c r="A867"/>
      <c r="B867"/>
      <c r="C867"/>
      <c r="D867"/>
      <c r="E867"/>
      <c r="F867"/>
      <c r="G867"/>
      <c r="H867"/>
      <c r="I867"/>
      <c r="J867" s="84"/>
      <c r="K867"/>
      <c r="L867"/>
      <c r="M867"/>
      <c r="N867"/>
      <c r="O867"/>
    </row>
    <row r="868" spans="1:15" x14ac:dyDescent="0.25">
      <c r="A868"/>
      <c r="B868"/>
      <c r="C868"/>
      <c r="D868"/>
      <c r="E868"/>
      <c r="F868"/>
      <c r="G868"/>
      <c r="H868"/>
      <c r="I868"/>
      <c r="J868" s="84"/>
      <c r="K868"/>
      <c r="L868"/>
      <c r="M868"/>
      <c r="N868"/>
      <c r="O868"/>
    </row>
    <row r="869" spans="1:15" x14ac:dyDescent="0.25">
      <c r="A869"/>
      <c r="B869"/>
      <c r="C869"/>
      <c r="D869"/>
      <c r="E869"/>
      <c r="F869"/>
      <c r="G869"/>
      <c r="H869"/>
      <c r="I869"/>
      <c r="J869" s="84"/>
      <c r="K869"/>
      <c r="L869"/>
      <c r="M869"/>
      <c r="N869"/>
      <c r="O869"/>
    </row>
    <row r="870" spans="1:15" x14ac:dyDescent="0.25">
      <c r="A870"/>
      <c r="B870"/>
      <c r="C870"/>
      <c r="D870"/>
      <c r="E870"/>
      <c r="F870"/>
      <c r="G870"/>
      <c r="H870"/>
      <c r="I870"/>
      <c r="J870" s="84"/>
      <c r="K870"/>
      <c r="L870"/>
      <c r="M870"/>
      <c r="N870"/>
      <c r="O870"/>
    </row>
    <row r="871" spans="1:15" x14ac:dyDescent="0.25">
      <c r="A871"/>
      <c r="B871"/>
      <c r="C871"/>
      <c r="D871"/>
      <c r="E871"/>
      <c r="F871"/>
      <c r="G871"/>
      <c r="H871"/>
      <c r="I871"/>
      <c r="J871" s="84"/>
      <c r="K871"/>
      <c r="L871"/>
      <c r="M871"/>
      <c r="N871"/>
      <c r="O871"/>
    </row>
    <row r="872" spans="1:15" x14ac:dyDescent="0.25">
      <c r="A872"/>
      <c r="B872"/>
      <c r="C872"/>
      <c r="D872"/>
      <c r="E872"/>
      <c r="F872"/>
      <c r="G872"/>
      <c r="H872"/>
      <c r="I872"/>
      <c r="J872" s="84"/>
      <c r="K872"/>
      <c r="L872"/>
      <c r="M872"/>
      <c r="N872"/>
      <c r="O872"/>
    </row>
    <row r="873" spans="1:15" x14ac:dyDescent="0.25">
      <c r="A873"/>
      <c r="B873"/>
      <c r="C873"/>
      <c r="D873"/>
      <c r="E873"/>
      <c r="F873"/>
      <c r="G873"/>
      <c r="H873"/>
      <c r="I873"/>
      <c r="J873" s="84"/>
      <c r="K873"/>
      <c r="L873"/>
      <c r="M873"/>
      <c r="N873"/>
      <c r="O873"/>
    </row>
    <row r="874" spans="1:15" x14ac:dyDescent="0.25">
      <c r="A874"/>
      <c r="B874"/>
      <c r="C874"/>
      <c r="D874"/>
      <c r="E874"/>
      <c r="F874"/>
      <c r="G874"/>
      <c r="H874"/>
      <c r="I874"/>
      <c r="J874" s="84"/>
      <c r="K874"/>
      <c r="L874"/>
      <c r="M874"/>
      <c r="N874"/>
      <c r="O874"/>
    </row>
    <row r="875" spans="1:15" x14ac:dyDescent="0.25">
      <c r="A875"/>
      <c r="B875"/>
      <c r="C875"/>
      <c r="D875"/>
      <c r="E875"/>
      <c r="F875"/>
      <c r="G875"/>
      <c r="H875"/>
      <c r="I875"/>
      <c r="J875" s="84"/>
      <c r="K875"/>
      <c r="L875"/>
      <c r="M875"/>
      <c r="N875"/>
      <c r="O875"/>
    </row>
    <row r="876" spans="1:15" x14ac:dyDescent="0.25">
      <c r="A876"/>
      <c r="B876"/>
      <c r="C876"/>
      <c r="D876"/>
      <c r="E876"/>
      <c r="F876"/>
      <c r="G876"/>
      <c r="H876"/>
      <c r="I876"/>
      <c r="J876" s="84"/>
      <c r="K876"/>
      <c r="L876"/>
      <c r="M876"/>
      <c r="N876"/>
      <c r="O876"/>
    </row>
    <row r="877" spans="1:15" x14ac:dyDescent="0.25">
      <c r="A877"/>
      <c r="B877"/>
      <c r="C877"/>
      <c r="D877"/>
      <c r="E877"/>
      <c r="F877"/>
      <c r="G877"/>
      <c r="H877"/>
      <c r="I877"/>
      <c r="J877" s="84"/>
      <c r="K877"/>
      <c r="L877"/>
      <c r="M877"/>
      <c r="N877"/>
      <c r="O877"/>
    </row>
    <row r="878" spans="1:15" x14ac:dyDescent="0.25">
      <c r="A878"/>
      <c r="B878"/>
      <c r="C878"/>
      <c r="D878"/>
      <c r="E878"/>
      <c r="F878"/>
      <c r="G878"/>
      <c r="H878"/>
      <c r="I878"/>
      <c r="J878" s="84"/>
      <c r="K878"/>
      <c r="L878"/>
      <c r="M878"/>
      <c r="N878"/>
      <c r="O878"/>
    </row>
    <row r="879" spans="1:15" x14ac:dyDescent="0.25">
      <c r="A879"/>
      <c r="B879"/>
      <c r="C879"/>
      <c r="D879"/>
      <c r="E879"/>
      <c r="F879"/>
      <c r="G879"/>
      <c r="H879"/>
      <c r="I879"/>
      <c r="J879" s="84"/>
      <c r="K879"/>
      <c r="L879"/>
      <c r="M879"/>
      <c r="N879"/>
      <c r="O879"/>
    </row>
    <row r="880" spans="1:15" x14ac:dyDescent="0.25">
      <c r="A880"/>
      <c r="B880"/>
      <c r="C880"/>
      <c r="D880"/>
      <c r="E880"/>
      <c r="F880"/>
      <c r="G880"/>
      <c r="H880"/>
      <c r="I880"/>
      <c r="J880" s="84"/>
      <c r="K880"/>
      <c r="L880"/>
      <c r="M880"/>
      <c r="N880"/>
      <c r="O880"/>
    </row>
    <row r="881" spans="1:15" x14ac:dyDescent="0.25">
      <c r="A881"/>
      <c r="B881"/>
      <c r="C881"/>
      <c r="D881"/>
      <c r="E881"/>
      <c r="F881"/>
      <c r="G881"/>
      <c r="H881"/>
      <c r="I881"/>
      <c r="J881" s="84"/>
      <c r="K881"/>
      <c r="L881"/>
      <c r="M881"/>
      <c r="N881"/>
      <c r="O881"/>
    </row>
    <row r="882" spans="1:15" x14ac:dyDescent="0.25">
      <c r="A882"/>
      <c r="B882"/>
      <c r="C882"/>
      <c r="D882"/>
      <c r="E882"/>
      <c r="F882"/>
      <c r="G882"/>
      <c r="H882"/>
      <c r="I882"/>
      <c r="J882" s="84"/>
      <c r="K882"/>
      <c r="L882"/>
      <c r="M882"/>
      <c r="N882"/>
      <c r="O882"/>
    </row>
    <row r="883" spans="1:15" x14ac:dyDescent="0.25">
      <c r="A883"/>
      <c r="B883"/>
      <c r="C883"/>
      <c r="D883"/>
      <c r="E883"/>
      <c r="F883"/>
      <c r="G883"/>
      <c r="H883"/>
      <c r="I883"/>
      <c r="J883" s="84"/>
      <c r="K883"/>
      <c r="L883"/>
      <c r="M883"/>
      <c r="N883"/>
      <c r="O883"/>
    </row>
    <row r="884" spans="1:15" x14ac:dyDescent="0.25">
      <c r="A884"/>
      <c r="B884"/>
      <c r="C884"/>
      <c r="D884"/>
      <c r="E884"/>
      <c r="F884"/>
      <c r="G884"/>
      <c r="H884"/>
      <c r="I884"/>
      <c r="J884" s="84"/>
      <c r="K884"/>
      <c r="L884"/>
      <c r="M884"/>
      <c r="N884"/>
      <c r="O884"/>
    </row>
    <row r="885" spans="1:15" x14ac:dyDescent="0.25">
      <c r="A885"/>
      <c r="B885"/>
      <c r="C885"/>
      <c r="D885"/>
      <c r="E885"/>
      <c r="F885"/>
      <c r="G885"/>
      <c r="H885"/>
      <c r="I885"/>
      <c r="J885" s="84"/>
      <c r="K885"/>
      <c r="L885"/>
      <c r="M885"/>
      <c r="N885"/>
      <c r="O885"/>
    </row>
    <row r="886" spans="1:15" x14ac:dyDescent="0.25">
      <c r="A886"/>
      <c r="B886"/>
      <c r="C886"/>
      <c r="D886"/>
      <c r="E886"/>
      <c r="F886"/>
      <c r="G886"/>
      <c r="H886"/>
      <c r="I886"/>
      <c r="J886" s="84"/>
      <c r="K886"/>
      <c r="L886"/>
      <c r="M886"/>
      <c r="N886"/>
      <c r="O886"/>
    </row>
    <row r="887" spans="1:15" x14ac:dyDescent="0.25">
      <c r="A887"/>
      <c r="B887"/>
      <c r="C887"/>
      <c r="D887"/>
      <c r="E887"/>
      <c r="F887"/>
      <c r="G887"/>
      <c r="H887"/>
      <c r="I887"/>
      <c r="J887" s="84"/>
      <c r="K887"/>
      <c r="L887"/>
      <c r="M887"/>
      <c r="N887"/>
      <c r="O887"/>
    </row>
    <row r="888" spans="1:15" x14ac:dyDescent="0.25">
      <c r="A888"/>
      <c r="B888"/>
      <c r="C888"/>
      <c r="D888"/>
      <c r="E888"/>
      <c r="F888"/>
      <c r="G888"/>
      <c r="H888"/>
      <c r="I888"/>
      <c r="J888" s="84"/>
      <c r="K888"/>
      <c r="L888"/>
      <c r="M888"/>
      <c r="N888"/>
      <c r="O888"/>
    </row>
    <row r="889" spans="1:15" x14ac:dyDescent="0.25">
      <c r="A889"/>
      <c r="B889"/>
      <c r="C889"/>
      <c r="D889"/>
      <c r="E889"/>
      <c r="F889"/>
      <c r="G889"/>
      <c r="H889"/>
      <c r="I889"/>
      <c r="J889" s="84"/>
      <c r="K889"/>
      <c r="L889"/>
      <c r="M889"/>
      <c r="N889"/>
      <c r="O889"/>
    </row>
    <row r="890" spans="1:15" x14ac:dyDescent="0.25">
      <c r="A890"/>
      <c r="B890"/>
      <c r="C890"/>
      <c r="D890"/>
      <c r="E890"/>
      <c r="F890"/>
      <c r="G890"/>
      <c r="H890"/>
      <c r="I890"/>
      <c r="J890" s="84"/>
      <c r="K890"/>
      <c r="L890"/>
      <c r="M890"/>
      <c r="N890"/>
      <c r="O890"/>
    </row>
    <row r="891" spans="1:15" x14ac:dyDescent="0.25">
      <c r="A891"/>
      <c r="B891"/>
      <c r="C891"/>
      <c r="D891"/>
      <c r="E891"/>
      <c r="F891"/>
      <c r="G891"/>
      <c r="H891"/>
      <c r="I891"/>
      <c r="J891" s="84"/>
      <c r="K891"/>
      <c r="L891"/>
      <c r="M891"/>
      <c r="N891"/>
      <c r="O891"/>
    </row>
    <row r="892" spans="1:15" x14ac:dyDescent="0.25">
      <c r="A892"/>
      <c r="B892"/>
      <c r="C892"/>
      <c r="D892"/>
      <c r="E892"/>
      <c r="F892"/>
      <c r="G892"/>
      <c r="H892"/>
      <c r="I892"/>
      <c r="J892" s="84"/>
      <c r="K892"/>
      <c r="L892"/>
      <c r="M892"/>
      <c r="N892"/>
      <c r="O892"/>
    </row>
    <row r="893" spans="1:15" x14ac:dyDescent="0.25">
      <c r="A893"/>
      <c r="B893"/>
      <c r="C893"/>
      <c r="D893"/>
      <c r="E893"/>
      <c r="F893"/>
      <c r="G893"/>
      <c r="H893"/>
      <c r="I893"/>
      <c r="J893" s="84"/>
      <c r="K893"/>
      <c r="L893"/>
      <c r="M893"/>
      <c r="N893"/>
      <c r="O893"/>
    </row>
    <row r="894" spans="1:15" x14ac:dyDescent="0.25">
      <c r="A894"/>
      <c r="B894"/>
      <c r="C894"/>
      <c r="D894"/>
      <c r="E894"/>
      <c r="F894"/>
      <c r="G894"/>
      <c r="H894"/>
      <c r="I894"/>
      <c r="J894" s="84"/>
      <c r="K894"/>
      <c r="L894"/>
      <c r="M894"/>
      <c r="N894"/>
      <c r="O894"/>
    </row>
    <row r="895" spans="1:15" x14ac:dyDescent="0.25">
      <c r="A895"/>
      <c r="B895"/>
      <c r="C895"/>
      <c r="D895"/>
      <c r="E895"/>
      <c r="F895"/>
      <c r="G895"/>
      <c r="H895"/>
      <c r="I895"/>
      <c r="J895" s="84"/>
      <c r="K895"/>
      <c r="L895"/>
      <c r="M895"/>
      <c r="N895"/>
      <c r="O895"/>
    </row>
    <row r="896" spans="1:15" x14ac:dyDescent="0.25">
      <c r="A896"/>
      <c r="B896"/>
      <c r="C896"/>
      <c r="D896"/>
      <c r="E896"/>
      <c r="F896"/>
      <c r="G896"/>
      <c r="H896"/>
      <c r="I896"/>
      <c r="J896" s="84"/>
      <c r="K896"/>
      <c r="L896"/>
      <c r="M896"/>
      <c r="N896"/>
      <c r="O896"/>
    </row>
    <row r="897" spans="1:15" x14ac:dyDescent="0.25">
      <c r="A897"/>
      <c r="B897"/>
      <c r="C897"/>
      <c r="D897"/>
      <c r="E897"/>
      <c r="F897"/>
      <c r="G897"/>
      <c r="H897"/>
      <c r="I897"/>
      <c r="J897" s="84"/>
      <c r="K897"/>
      <c r="L897"/>
      <c r="M897"/>
      <c r="N897"/>
      <c r="O897"/>
    </row>
    <row r="898" spans="1:15" x14ac:dyDescent="0.25">
      <c r="A898"/>
      <c r="B898"/>
      <c r="C898"/>
      <c r="D898"/>
      <c r="E898"/>
      <c r="F898"/>
      <c r="G898"/>
      <c r="H898"/>
      <c r="I898"/>
      <c r="J898" s="84"/>
      <c r="K898"/>
      <c r="L898"/>
      <c r="M898"/>
      <c r="N898"/>
      <c r="O898"/>
    </row>
    <row r="899" spans="1:15" x14ac:dyDescent="0.25">
      <c r="A899"/>
      <c r="B899"/>
      <c r="C899"/>
      <c r="D899"/>
      <c r="E899"/>
      <c r="F899"/>
      <c r="G899"/>
      <c r="H899"/>
      <c r="I899"/>
      <c r="J899" s="84"/>
      <c r="K899"/>
      <c r="L899"/>
      <c r="M899"/>
      <c r="N899"/>
      <c r="O899"/>
    </row>
    <row r="900" spans="1:15" x14ac:dyDescent="0.25">
      <c r="A900"/>
      <c r="B900"/>
      <c r="C900"/>
      <c r="D900"/>
      <c r="E900"/>
      <c r="F900"/>
      <c r="G900"/>
      <c r="H900"/>
      <c r="I900"/>
      <c r="J900" s="84"/>
      <c r="K900"/>
      <c r="L900"/>
      <c r="M900"/>
      <c r="N900"/>
      <c r="O900"/>
    </row>
    <row r="901" spans="1:15" x14ac:dyDescent="0.25">
      <c r="A901"/>
      <c r="B901"/>
      <c r="C901"/>
      <c r="D901"/>
      <c r="E901"/>
      <c r="F901"/>
      <c r="G901"/>
      <c r="H901"/>
      <c r="I901"/>
      <c r="J901" s="84"/>
      <c r="K901"/>
      <c r="L901"/>
      <c r="M901"/>
      <c r="N901"/>
      <c r="O901"/>
    </row>
    <row r="902" spans="1:15" x14ac:dyDescent="0.25">
      <c r="A902"/>
      <c r="B902"/>
      <c r="C902"/>
      <c r="D902"/>
      <c r="E902"/>
      <c r="F902"/>
      <c r="G902"/>
      <c r="H902"/>
      <c r="I902"/>
      <c r="J902" s="84"/>
      <c r="K902"/>
      <c r="L902"/>
      <c r="M902"/>
      <c r="N902"/>
      <c r="O902"/>
    </row>
    <row r="903" spans="1:15" x14ac:dyDescent="0.25">
      <c r="A903"/>
      <c r="B903"/>
      <c r="C903"/>
      <c r="D903"/>
      <c r="E903"/>
      <c r="F903"/>
      <c r="G903"/>
      <c r="H903"/>
      <c r="I903"/>
      <c r="J903" s="84"/>
      <c r="K903"/>
      <c r="L903"/>
      <c r="M903"/>
      <c r="N903"/>
      <c r="O903"/>
    </row>
    <row r="904" spans="1:15" x14ac:dyDescent="0.25">
      <c r="A904"/>
      <c r="B904"/>
      <c r="C904"/>
      <c r="D904"/>
      <c r="E904"/>
      <c r="F904"/>
      <c r="G904"/>
      <c r="H904"/>
      <c r="I904"/>
      <c r="J904" s="84"/>
      <c r="K904"/>
      <c r="L904"/>
      <c r="M904"/>
      <c r="N904"/>
      <c r="O904"/>
    </row>
    <row r="905" spans="1:15" x14ac:dyDescent="0.25">
      <c r="A905"/>
      <c r="B905"/>
      <c r="C905"/>
      <c r="D905"/>
      <c r="E905"/>
      <c r="F905"/>
      <c r="G905"/>
      <c r="H905"/>
      <c r="I905"/>
      <c r="J905" s="84"/>
      <c r="K905"/>
      <c r="L905"/>
      <c r="M905"/>
      <c r="N905"/>
      <c r="O905"/>
    </row>
    <row r="906" spans="1:15" x14ac:dyDescent="0.25">
      <c r="A906"/>
      <c r="B906"/>
      <c r="C906"/>
      <c r="D906"/>
      <c r="E906"/>
      <c r="F906"/>
      <c r="G906"/>
      <c r="H906"/>
      <c r="I906"/>
      <c r="J906" s="84"/>
      <c r="K906"/>
      <c r="L906"/>
      <c r="M906"/>
      <c r="N906"/>
      <c r="O906"/>
    </row>
    <row r="907" spans="1:15" x14ac:dyDescent="0.25">
      <c r="A907"/>
      <c r="B907"/>
      <c r="C907"/>
      <c r="D907"/>
      <c r="E907"/>
      <c r="F907"/>
      <c r="G907"/>
      <c r="H907"/>
      <c r="I907"/>
      <c r="J907" s="84"/>
      <c r="K907"/>
      <c r="L907"/>
      <c r="M907"/>
      <c r="N907"/>
      <c r="O907"/>
    </row>
    <row r="908" spans="1:15" x14ac:dyDescent="0.25">
      <c r="A908"/>
      <c r="B908"/>
      <c r="C908"/>
      <c r="D908"/>
      <c r="E908"/>
      <c r="F908"/>
      <c r="G908"/>
      <c r="H908"/>
      <c r="I908"/>
      <c r="J908" s="84"/>
      <c r="K908"/>
      <c r="L908"/>
      <c r="M908"/>
      <c r="N908"/>
      <c r="O908"/>
    </row>
    <row r="909" spans="1:15" x14ac:dyDescent="0.25">
      <c r="A909"/>
      <c r="B909"/>
      <c r="C909"/>
      <c r="D909"/>
      <c r="E909"/>
      <c r="F909"/>
      <c r="G909"/>
      <c r="H909"/>
      <c r="I909"/>
      <c r="J909" s="84"/>
      <c r="K909"/>
      <c r="L909"/>
      <c r="M909"/>
      <c r="N909"/>
      <c r="O909"/>
    </row>
    <row r="910" spans="1:15" x14ac:dyDescent="0.25">
      <c r="A910"/>
      <c r="B910"/>
      <c r="C910"/>
      <c r="D910"/>
      <c r="E910"/>
      <c r="F910"/>
      <c r="G910"/>
      <c r="H910"/>
      <c r="I910"/>
      <c r="J910" s="84"/>
      <c r="K910"/>
      <c r="L910"/>
      <c r="M910"/>
      <c r="N910"/>
      <c r="O910"/>
    </row>
    <row r="911" spans="1:15" x14ac:dyDescent="0.25">
      <c r="A911"/>
      <c r="B911"/>
      <c r="C911"/>
      <c r="D911"/>
      <c r="E911"/>
      <c r="F911"/>
      <c r="G911"/>
      <c r="H911"/>
      <c r="I911"/>
      <c r="J911" s="84"/>
      <c r="K911"/>
      <c r="L911"/>
      <c r="M911"/>
      <c r="N911"/>
      <c r="O911"/>
    </row>
    <row r="912" spans="1:15" x14ac:dyDescent="0.25">
      <c r="A912"/>
      <c r="B912"/>
      <c r="C912"/>
      <c r="D912"/>
      <c r="E912"/>
      <c r="F912"/>
      <c r="G912"/>
      <c r="H912"/>
      <c r="I912"/>
      <c r="J912" s="84"/>
      <c r="K912"/>
      <c r="L912"/>
      <c r="M912"/>
      <c r="N912"/>
      <c r="O912"/>
    </row>
    <row r="913" spans="1:15" x14ac:dyDescent="0.25">
      <c r="A913"/>
      <c r="B913"/>
      <c r="C913"/>
      <c r="D913"/>
      <c r="E913"/>
      <c r="F913"/>
      <c r="G913"/>
      <c r="H913"/>
      <c r="I913"/>
      <c r="J913" s="84"/>
      <c r="K913"/>
      <c r="L913"/>
      <c r="M913"/>
      <c r="N913"/>
      <c r="O913"/>
    </row>
    <row r="914" spans="1:15" x14ac:dyDescent="0.25">
      <c r="A914"/>
      <c r="B914"/>
      <c r="C914"/>
      <c r="D914"/>
      <c r="E914"/>
      <c r="F914"/>
      <c r="G914"/>
      <c r="H914"/>
      <c r="I914"/>
      <c r="J914" s="84"/>
      <c r="K914"/>
      <c r="L914"/>
      <c r="M914"/>
      <c r="N914"/>
      <c r="O914"/>
    </row>
    <row r="915" spans="1:15" x14ac:dyDescent="0.25">
      <c r="A915"/>
      <c r="B915"/>
      <c r="C915"/>
      <c r="D915"/>
      <c r="E915"/>
      <c r="F915"/>
      <c r="G915"/>
      <c r="H915"/>
      <c r="I915"/>
      <c r="J915" s="84"/>
      <c r="K915"/>
      <c r="L915"/>
      <c r="M915"/>
      <c r="N915"/>
      <c r="O915"/>
    </row>
    <row r="916" spans="1:15" x14ac:dyDescent="0.25">
      <c r="A916"/>
      <c r="B916"/>
      <c r="C916"/>
      <c r="D916"/>
      <c r="E916"/>
      <c r="F916"/>
      <c r="G916"/>
      <c r="H916"/>
      <c r="I916"/>
      <c r="J916" s="84"/>
      <c r="K916"/>
      <c r="L916"/>
      <c r="M916"/>
      <c r="N916"/>
      <c r="O916"/>
    </row>
    <row r="917" spans="1:15" x14ac:dyDescent="0.25">
      <c r="A917"/>
      <c r="B917"/>
      <c r="C917"/>
      <c r="D917"/>
      <c r="E917"/>
      <c r="F917"/>
      <c r="G917"/>
      <c r="H917"/>
      <c r="I917"/>
      <c r="J917" s="84"/>
      <c r="K917"/>
      <c r="L917"/>
      <c r="M917"/>
      <c r="N917"/>
      <c r="O917"/>
    </row>
    <row r="918" spans="1:15" x14ac:dyDescent="0.25">
      <c r="A918"/>
      <c r="B918"/>
      <c r="C918"/>
      <c r="D918"/>
      <c r="E918"/>
      <c r="F918"/>
      <c r="G918"/>
      <c r="H918"/>
      <c r="I918"/>
      <c r="J918" s="84"/>
      <c r="K918"/>
      <c r="L918"/>
      <c r="M918"/>
      <c r="N918"/>
      <c r="O918"/>
    </row>
    <row r="919" spans="1:15" x14ac:dyDescent="0.25">
      <c r="A919"/>
      <c r="B919"/>
      <c r="C919"/>
      <c r="D919"/>
      <c r="E919"/>
      <c r="F919"/>
      <c r="G919"/>
      <c r="H919"/>
      <c r="I919"/>
      <c r="J919" s="84"/>
      <c r="K919"/>
      <c r="L919"/>
      <c r="M919"/>
      <c r="N919"/>
      <c r="O919"/>
    </row>
    <row r="920" spans="1:15" x14ac:dyDescent="0.25">
      <c r="A920"/>
      <c r="B920"/>
      <c r="C920"/>
      <c r="D920"/>
      <c r="E920"/>
      <c r="F920"/>
      <c r="G920"/>
      <c r="H920"/>
      <c r="I920"/>
      <c r="J920" s="84"/>
      <c r="K920"/>
      <c r="L920"/>
      <c r="M920"/>
      <c r="N920"/>
      <c r="O920"/>
    </row>
    <row r="921" spans="1:15" x14ac:dyDescent="0.25">
      <c r="A921"/>
      <c r="B921"/>
      <c r="C921"/>
      <c r="D921"/>
      <c r="E921"/>
      <c r="F921"/>
      <c r="G921"/>
      <c r="H921"/>
      <c r="I921"/>
      <c r="J921" s="84"/>
      <c r="K921"/>
      <c r="L921"/>
      <c r="M921"/>
      <c r="N921"/>
      <c r="O921"/>
    </row>
    <row r="922" spans="1:15" x14ac:dyDescent="0.25">
      <c r="A922"/>
      <c r="B922"/>
      <c r="C922"/>
      <c r="D922"/>
      <c r="E922"/>
      <c r="F922"/>
      <c r="G922"/>
      <c r="H922"/>
      <c r="I922"/>
      <c r="J922" s="84"/>
      <c r="K922"/>
      <c r="L922"/>
      <c r="M922"/>
      <c r="N922"/>
      <c r="O922"/>
    </row>
    <row r="923" spans="1:15" x14ac:dyDescent="0.25">
      <c r="A923"/>
      <c r="B923"/>
      <c r="C923"/>
      <c r="D923"/>
      <c r="E923"/>
      <c r="F923"/>
      <c r="G923"/>
      <c r="H923"/>
      <c r="I923"/>
      <c r="J923" s="84"/>
      <c r="K923"/>
      <c r="L923"/>
      <c r="M923"/>
      <c r="N923"/>
      <c r="O923"/>
    </row>
    <row r="924" spans="1:15" x14ac:dyDescent="0.25">
      <c r="A924"/>
      <c r="B924"/>
      <c r="C924"/>
      <c r="D924"/>
      <c r="E924"/>
      <c r="F924"/>
      <c r="G924"/>
      <c r="H924"/>
      <c r="I924"/>
      <c r="J924" s="84"/>
      <c r="K924"/>
      <c r="L924"/>
      <c r="M924"/>
      <c r="N924"/>
      <c r="O924"/>
    </row>
    <row r="925" spans="1:15" x14ac:dyDescent="0.25">
      <c r="A925"/>
      <c r="B925"/>
      <c r="C925"/>
      <c r="D925"/>
      <c r="E925"/>
      <c r="F925"/>
      <c r="G925"/>
      <c r="H925"/>
      <c r="I925"/>
      <c r="J925" s="84"/>
      <c r="K925"/>
      <c r="L925"/>
      <c r="M925"/>
      <c r="N925"/>
      <c r="O925"/>
    </row>
    <row r="926" spans="1:15" x14ac:dyDescent="0.25">
      <c r="A926"/>
      <c r="B926"/>
      <c r="C926"/>
      <c r="D926"/>
      <c r="E926"/>
      <c r="F926"/>
      <c r="G926"/>
      <c r="H926"/>
      <c r="I926"/>
      <c r="J926" s="84"/>
      <c r="K926"/>
      <c r="L926"/>
      <c r="M926"/>
      <c r="N926"/>
      <c r="O926"/>
    </row>
    <row r="927" spans="1:15" x14ac:dyDescent="0.25">
      <c r="A927"/>
      <c r="B927"/>
      <c r="C927"/>
      <c r="D927"/>
      <c r="E927"/>
      <c r="F927"/>
      <c r="G927"/>
      <c r="H927"/>
      <c r="I927"/>
      <c r="J927" s="84"/>
      <c r="K927"/>
      <c r="L927"/>
      <c r="M927"/>
      <c r="N927"/>
      <c r="O927"/>
    </row>
    <row r="928" spans="1:15" x14ac:dyDescent="0.25">
      <c r="A928"/>
      <c r="B928"/>
      <c r="C928"/>
      <c r="D928"/>
      <c r="E928"/>
      <c r="F928"/>
      <c r="G928"/>
      <c r="H928"/>
      <c r="I928"/>
      <c r="J928" s="84"/>
      <c r="K928"/>
      <c r="L928"/>
      <c r="M928"/>
      <c r="N928"/>
      <c r="O928"/>
    </row>
    <row r="929" spans="1:15" x14ac:dyDescent="0.25">
      <c r="A929"/>
      <c r="B929"/>
      <c r="C929"/>
      <c r="D929"/>
      <c r="E929"/>
      <c r="F929"/>
      <c r="G929"/>
      <c r="H929"/>
      <c r="I929"/>
      <c r="J929" s="84"/>
      <c r="K929"/>
      <c r="L929"/>
      <c r="M929"/>
      <c r="N929"/>
      <c r="O929"/>
    </row>
    <row r="930" spans="1:15" x14ac:dyDescent="0.25">
      <c r="A930"/>
      <c r="B930"/>
      <c r="C930"/>
      <c r="D930"/>
      <c r="E930"/>
      <c r="F930"/>
      <c r="G930"/>
      <c r="H930"/>
      <c r="I930"/>
      <c r="J930" s="84"/>
      <c r="K930"/>
      <c r="L930"/>
      <c r="M930"/>
      <c r="N930"/>
      <c r="O930"/>
    </row>
    <row r="931" spans="1:15" x14ac:dyDescent="0.25">
      <c r="A931"/>
      <c r="B931"/>
      <c r="C931"/>
      <c r="D931"/>
      <c r="E931"/>
      <c r="F931"/>
      <c r="G931"/>
      <c r="H931"/>
      <c r="I931"/>
      <c r="J931" s="84"/>
      <c r="K931"/>
      <c r="L931"/>
      <c r="M931"/>
      <c r="N931"/>
      <c r="O931"/>
    </row>
    <row r="932" spans="1:15" x14ac:dyDescent="0.25">
      <c r="A932"/>
      <c r="B932"/>
      <c r="C932"/>
      <c r="D932"/>
      <c r="E932"/>
      <c r="F932"/>
      <c r="G932"/>
      <c r="H932"/>
      <c r="I932"/>
      <c r="J932" s="84"/>
      <c r="K932"/>
      <c r="L932"/>
      <c r="M932"/>
      <c r="N932"/>
      <c r="O932"/>
    </row>
    <row r="933" spans="1:15" x14ac:dyDescent="0.25">
      <c r="A933"/>
      <c r="B933"/>
      <c r="C933"/>
      <c r="D933"/>
      <c r="E933"/>
      <c r="F933"/>
      <c r="G933"/>
      <c r="H933"/>
      <c r="I933"/>
      <c r="J933" s="84"/>
      <c r="K933"/>
      <c r="L933"/>
      <c r="M933"/>
      <c r="N933"/>
      <c r="O933"/>
    </row>
    <row r="934" spans="1:15" x14ac:dyDescent="0.25">
      <c r="A934"/>
      <c r="B934"/>
      <c r="C934"/>
      <c r="D934"/>
      <c r="E934"/>
      <c r="F934"/>
      <c r="G934"/>
      <c r="H934"/>
      <c r="I934"/>
      <c r="J934" s="84"/>
      <c r="K934"/>
      <c r="L934"/>
      <c r="M934"/>
      <c r="N934"/>
      <c r="O934"/>
    </row>
    <row r="935" spans="1:15" x14ac:dyDescent="0.25">
      <c r="A935"/>
      <c r="B935"/>
      <c r="C935"/>
      <c r="D935"/>
      <c r="E935"/>
      <c r="F935"/>
      <c r="G935"/>
      <c r="H935"/>
      <c r="I935"/>
      <c r="J935" s="84"/>
      <c r="K935"/>
      <c r="L935"/>
      <c r="M935"/>
      <c r="N935"/>
      <c r="O935"/>
    </row>
    <row r="936" spans="1:15" x14ac:dyDescent="0.25">
      <c r="A936"/>
      <c r="B936"/>
      <c r="C936"/>
      <c r="D936"/>
      <c r="E936"/>
      <c r="F936"/>
      <c r="G936"/>
      <c r="H936"/>
      <c r="I936"/>
      <c r="J936" s="84"/>
      <c r="K936"/>
      <c r="L936"/>
      <c r="M936"/>
      <c r="N936"/>
      <c r="O936"/>
    </row>
    <row r="937" spans="1:15" x14ac:dyDescent="0.25">
      <c r="A937"/>
      <c r="B937"/>
      <c r="C937"/>
      <c r="D937"/>
      <c r="E937"/>
      <c r="F937"/>
      <c r="G937"/>
      <c r="H937"/>
      <c r="I937"/>
      <c r="J937" s="84"/>
      <c r="K937"/>
      <c r="L937"/>
      <c r="M937"/>
      <c r="N937"/>
      <c r="O937"/>
    </row>
    <row r="938" spans="1:15" x14ac:dyDescent="0.25">
      <c r="A938"/>
      <c r="B938"/>
      <c r="C938"/>
      <c r="D938"/>
      <c r="E938"/>
      <c r="F938"/>
      <c r="G938"/>
      <c r="H938"/>
      <c r="I938"/>
      <c r="J938" s="84"/>
      <c r="K938"/>
      <c r="L938"/>
      <c r="M938"/>
      <c r="N938"/>
      <c r="O938"/>
    </row>
    <row r="939" spans="1:15" x14ac:dyDescent="0.25">
      <c r="A939"/>
      <c r="B939"/>
      <c r="C939"/>
      <c r="D939"/>
      <c r="E939"/>
      <c r="F939"/>
      <c r="G939"/>
      <c r="H939"/>
      <c r="I939"/>
      <c r="J939" s="84"/>
      <c r="K939"/>
      <c r="L939"/>
      <c r="M939"/>
      <c r="N939"/>
      <c r="O939"/>
    </row>
    <row r="940" spans="1:15" x14ac:dyDescent="0.25">
      <c r="A940"/>
      <c r="B940"/>
      <c r="C940"/>
      <c r="D940"/>
      <c r="E940"/>
      <c r="F940"/>
      <c r="G940"/>
      <c r="H940"/>
      <c r="I940"/>
      <c r="J940" s="84"/>
      <c r="K940"/>
      <c r="L940"/>
      <c r="M940"/>
      <c r="N940"/>
      <c r="O940"/>
    </row>
    <row r="941" spans="1:15" x14ac:dyDescent="0.25">
      <c r="A941"/>
      <c r="B941"/>
      <c r="C941"/>
      <c r="D941"/>
      <c r="E941"/>
      <c r="F941"/>
      <c r="G941"/>
      <c r="H941"/>
      <c r="I941"/>
      <c r="J941" s="84"/>
      <c r="K941"/>
      <c r="L941"/>
      <c r="M941"/>
      <c r="N941"/>
      <c r="O941"/>
    </row>
    <row r="942" spans="1:15" x14ac:dyDescent="0.25">
      <c r="A942"/>
      <c r="B942"/>
      <c r="C942"/>
      <c r="D942"/>
      <c r="E942"/>
      <c r="F942"/>
      <c r="G942"/>
      <c r="H942"/>
      <c r="I942"/>
      <c r="J942" s="84"/>
      <c r="K942"/>
      <c r="L942"/>
      <c r="M942"/>
      <c r="N942"/>
      <c r="O942"/>
    </row>
    <row r="943" spans="1:15" x14ac:dyDescent="0.25">
      <c r="A943"/>
      <c r="B943"/>
      <c r="C943"/>
      <c r="D943"/>
      <c r="E943"/>
      <c r="F943"/>
      <c r="G943"/>
      <c r="H943"/>
      <c r="I943"/>
      <c r="J943" s="84"/>
      <c r="K943"/>
      <c r="L943"/>
      <c r="M943"/>
      <c r="N943"/>
      <c r="O943"/>
    </row>
    <row r="944" spans="1:15" x14ac:dyDescent="0.25">
      <c r="A944"/>
      <c r="B944"/>
      <c r="C944"/>
      <c r="D944"/>
      <c r="E944"/>
      <c r="F944"/>
      <c r="G944"/>
      <c r="H944"/>
      <c r="I944"/>
      <c r="J944" s="84"/>
      <c r="K944"/>
      <c r="L944"/>
      <c r="M944"/>
      <c r="N944"/>
      <c r="O944"/>
    </row>
    <row r="945" spans="1:15" x14ac:dyDescent="0.25">
      <c r="A945"/>
      <c r="B945"/>
      <c r="C945"/>
      <c r="D945"/>
      <c r="E945"/>
      <c r="F945"/>
      <c r="G945"/>
      <c r="H945"/>
      <c r="I945"/>
      <c r="J945" s="84"/>
      <c r="K945"/>
      <c r="L945"/>
      <c r="M945"/>
      <c r="N945"/>
      <c r="O945"/>
    </row>
    <row r="946" spans="1:15" x14ac:dyDescent="0.25">
      <c r="A946"/>
      <c r="B946"/>
      <c r="C946"/>
      <c r="D946"/>
      <c r="E946"/>
      <c r="F946"/>
      <c r="G946"/>
      <c r="H946"/>
      <c r="I946"/>
      <c r="J946" s="84"/>
      <c r="K946"/>
      <c r="L946"/>
      <c r="M946"/>
      <c r="N946"/>
      <c r="O946"/>
    </row>
    <row r="947" spans="1:15" x14ac:dyDescent="0.25">
      <c r="A947"/>
      <c r="B947"/>
      <c r="C947"/>
      <c r="D947"/>
      <c r="E947"/>
      <c r="F947"/>
      <c r="G947"/>
      <c r="H947"/>
      <c r="I947"/>
      <c r="J947" s="84"/>
      <c r="K947"/>
      <c r="L947"/>
      <c r="M947"/>
      <c r="N947"/>
      <c r="O947"/>
    </row>
    <row r="948" spans="1:15" x14ac:dyDescent="0.25">
      <c r="A948"/>
      <c r="B948"/>
      <c r="C948"/>
      <c r="D948"/>
      <c r="E948"/>
      <c r="F948"/>
      <c r="G948"/>
      <c r="H948"/>
      <c r="I948"/>
      <c r="J948" s="84"/>
      <c r="K948"/>
      <c r="L948"/>
      <c r="M948"/>
      <c r="N948"/>
      <c r="O948"/>
    </row>
    <row r="949" spans="1:15" x14ac:dyDescent="0.25">
      <c r="A949"/>
      <c r="B949"/>
      <c r="C949"/>
      <c r="D949"/>
      <c r="E949"/>
      <c r="F949"/>
      <c r="G949"/>
      <c r="H949"/>
      <c r="I949"/>
      <c r="J949" s="84"/>
      <c r="K949"/>
      <c r="L949"/>
      <c r="M949"/>
      <c r="N949"/>
      <c r="O949"/>
    </row>
    <row r="950" spans="1:15" x14ac:dyDescent="0.25">
      <c r="A950"/>
      <c r="B950"/>
      <c r="C950"/>
      <c r="D950"/>
      <c r="E950"/>
      <c r="F950"/>
      <c r="G950"/>
      <c r="H950"/>
      <c r="I950"/>
      <c r="J950" s="84"/>
      <c r="K950"/>
      <c r="L950"/>
      <c r="M950"/>
      <c r="N950"/>
      <c r="O950"/>
    </row>
    <row r="951" spans="1:15" x14ac:dyDescent="0.25">
      <c r="A951"/>
      <c r="B951"/>
      <c r="C951"/>
      <c r="D951"/>
      <c r="E951"/>
      <c r="F951"/>
      <c r="G951"/>
      <c r="H951"/>
      <c r="I951"/>
      <c r="J951" s="84"/>
      <c r="K951"/>
      <c r="L951"/>
      <c r="M951"/>
      <c r="N951"/>
      <c r="O951"/>
    </row>
    <row r="952" spans="1:15" x14ac:dyDescent="0.25">
      <c r="A952"/>
      <c r="B952"/>
      <c r="C952"/>
      <c r="D952"/>
      <c r="E952"/>
      <c r="F952"/>
      <c r="G952"/>
      <c r="H952"/>
      <c r="I952"/>
      <c r="J952" s="84"/>
      <c r="K952"/>
      <c r="L952"/>
      <c r="M952"/>
      <c r="N952"/>
      <c r="O952"/>
    </row>
    <row r="953" spans="1:15" x14ac:dyDescent="0.25">
      <c r="A953"/>
      <c r="B953"/>
      <c r="C953"/>
      <c r="D953"/>
      <c r="E953"/>
      <c r="F953"/>
      <c r="G953"/>
      <c r="H953"/>
      <c r="I953"/>
      <c r="J953" s="84"/>
      <c r="K953"/>
      <c r="L953"/>
      <c r="M953"/>
      <c r="N953"/>
      <c r="O953"/>
    </row>
    <row r="954" spans="1:15" x14ac:dyDescent="0.25">
      <c r="A954"/>
      <c r="B954"/>
      <c r="C954"/>
      <c r="D954"/>
      <c r="E954"/>
      <c r="F954"/>
      <c r="G954"/>
      <c r="H954"/>
      <c r="I954"/>
      <c r="J954" s="84"/>
      <c r="K954"/>
      <c r="L954"/>
      <c r="M954"/>
      <c r="N954"/>
      <c r="O954"/>
    </row>
    <row r="955" spans="1:15" x14ac:dyDescent="0.25">
      <c r="A955"/>
      <c r="B955"/>
      <c r="C955"/>
      <c r="D955"/>
      <c r="E955"/>
      <c r="F955"/>
      <c r="G955"/>
      <c r="H955"/>
      <c r="I955"/>
      <c r="J955" s="84"/>
      <c r="K955"/>
      <c r="L955"/>
      <c r="M955"/>
      <c r="N955"/>
      <c r="O955"/>
    </row>
    <row r="956" spans="1:15" x14ac:dyDescent="0.25">
      <c r="A956"/>
      <c r="B956"/>
      <c r="C956"/>
      <c r="D956"/>
      <c r="E956"/>
      <c r="F956"/>
      <c r="G956"/>
      <c r="H956"/>
      <c r="I956"/>
      <c r="J956" s="84"/>
      <c r="K956"/>
      <c r="L956"/>
      <c r="M956"/>
      <c r="N956"/>
      <c r="O956"/>
    </row>
    <row r="957" spans="1:15" x14ac:dyDescent="0.25">
      <c r="A957"/>
      <c r="B957"/>
      <c r="C957"/>
      <c r="D957"/>
      <c r="E957"/>
      <c r="F957"/>
      <c r="G957"/>
      <c r="H957"/>
      <c r="I957"/>
      <c r="J957" s="84"/>
      <c r="K957"/>
      <c r="L957"/>
      <c r="M957"/>
      <c r="N957"/>
      <c r="O957"/>
    </row>
    <row r="958" spans="1:15" x14ac:dyDescent="0.25">
      <c r="A958"/>
      <c r="B958"/>
      <c r="C958"/>
      <c r="D958"/>
      <c r="E958"/>
      <c r="F958"/>
      <c r="G958"/>
      <c r="H958"/>
      <c r="I958"/>
      <c r="J958" s="84"/>
      <c r="K958"/>
      <c r="L958"/>
      <c r="M958"/>
      <c r="N958"/>
      <c r="O958"/>
    </row>
    <row r="959" spans="1:15" x14ac:dyDescent="0.25">
      <c r="A959"/>
      <c r="B959"/>
      <c r="C959"/>
      <c r="D959"/>
      <c r="E959"/>
      <c r="F959"/>
      <c r="G959"/>
      <c r="H959"/>
      <c r="I959"/>
      <c r="J959" s="84"/>
      <c r="K959"/>
      <c r="L959"/>
      <c r="M959"/>
      <c r="N959"/>
      <c r="O959"/>
    </row>
    <row r="960" spans="1:15" x14ac:dyDescent="0.25">
      <c r="A960"/>
      <c r="B960"/>
      <c r="C960"/>
      <c r="D960"/>
      <c r="E960"/>
      <c r="F960"/>
      <c r="G960"/>
      <c r="H960"/>
      <c r="I960"/>
      <c r="J960" s="84"/>
      <c r="K960"/>
      <c r="L960"/>
      <c r="M960"/>
      <c r="N960"/>
      <c r="O960"/>
    </row>
    <row r="961" spans="1:15" x14ac:dyDescent="0.25">
      <c r="A961"/>
      <c r="B961"/>
      <c r="C961"/>
      <c r="D961"/>
      <c r="E961"/>
      <c r="F961"/>
      <c r="G961"/>
      <c r="H961"/>
      <c r="I961"/>
      <c r="J961" s="84"/>
      <c r="K961"/>
      <c r="L961"/>
      <c r="M961"/>
      <c r="N961"/>
      <c r="O961"/>
    </row>
    <row r="962" spans="1:15" x14ac:dyDescent="0.25">
      <c r="A962"/>
      <c r="B962"/>
      <c r="C962"/>
      <c r="D962"/>
      <c r="E962"/>
      <c r="F962"/>
      <c r="G962"/>
      <c r="H962"/>
      <c r="I962"/>
      <c r="J962" s="84"/>
      <c r="K962"/>
      <c r="L962"/>
      <c r="M962"/>
      <c r="N962"/>
      <c r="O962"/>
    </row>
    <row r="963" spans="1:15" x14ac:dyDescent="0.25">
      <c r="A963"/>
      <c r="B963"/>
      <c r="C963"/>
      <c r="D963"/>
      <c r="E963"/>
      <c r="F963"/>
      <c r="G963"/>
      <c r="H963"/>
      <c r="I963"/>
      <c r="J963" s="84"/>
      <c r="K963"/>
      <c r="L963"/>
      <c r="M963"/>
      <c r="N963"/>
      <c r="O963"/>
    </row>
    <row r="964" spans="1:15" x14ac:dyDescent="0.25">
      <c r="A964"/>
      <c r="B964"/>
      <c r="C964"/>
      <c r="D964"/>
      <c r="E964"/>
      <c r="F964"/>
      <c r="G964"/>
      <c r="H964"/>
      <c r="I964"/>
      <c r="J964" s="84"/>
      <c r="K964"/>
      <c r="L964"/>
      <c r="M964"/>
      <c r="N964"/>
      <c r="O964"/>
    </row>
    <row r="965" spans="1:15" x14ac:dyDescent="0.25">
      <c r="A965"/>
      <c r="B965"/>
      <c r="C965"/>
      <c r="D965"/>
      <c r="E965"/>
      <c r="F965"/>
      <c r="G965"/>
      <c r="H965"/>
      <c r="I965"/>
      <c r="J965" s="84"/>
      <c r="K965"/>
      <c r="L965"/>
      <c r="M965"/>
      <c r="N965"/>
      <c r="O965"/>
    </row>
    <row r="966" spans="1:15" x14ac:dyDescent="0.25">
      <c r="A966"/>
      <c r="B966"/>
      <c r="C966"/>
      <c r="D966"/>
      <c r="E966"/>
      <c r="F966"/>
      <c r="G966"/>
      <c r="H966"/>
      <c r="I966"/>
      <c r="J966" s="84"/>
      <c r="K966"/>
      <c r="L966"/>
      <c r="M966"/>
      <c r="N966"/>
      <c r="O966"/>
    </row>
    <row r="967" spans="1:15" x14ac:dyDescent="0.25">
      <c r="A967"/>
      <c r="B967"/>
      <c r="C967"/>
      <c r="D967"/>
      <c r="E967"/>
      <c r="F967"/>
      <c r="G967"/>
      <c r="H967"/>
      <c r="I967"/>
      <c r="J967" s="84"/>
      <c r="K967"/>
      <c r="L967"/>
      <c r="M967"/>
      <c r="N967"/>
      <c r="O967"/>
    </row>
    <row r="968" spans="1:15" x14ac:dyDescent="0.25">
      <c r="A968"/>
      <c r="B968"/>
      <c r="C968"/>
      <c r="D968"/>
      <c r="E968"/>
      <c r="F968"/>
      <c r="G968"/>
      <c r="H968"/>
      <c r="I968"/>
      <c r="J968" s="84"/>
      <c r="K968"/>
      <c r="L968"/>
      <c r="M968"/>
      <c r="N968"/>
      <c r="O968"/>
    </row>
    <row r="969" spans="1:15" x14ac:dyDescent="0.25">
      <c r="A969"/>
      <c r="B969"/>
      <c r="C969"/>
      <c r="D969"/>
      <c r="E969"/>
      <c r="F969"/>
      <c r="G969"/>
      <c r="H969"/>
      <c r="I969"/>
      <c r="J969" s="84"/>
      <c r="K969"/>
      <c r="L969"/>
      <c r="M969"/>
      <c r="N969"/>
      <c r="O969"/>
    </row>
    <row r="970" spans="1:15" x14ac:dyDescent="0.25">
      <c r="A970"/>
      <c r="B970"/>
      <c r="C970"/>
      <c r="D970"/>
      <c r="E970"/>
      <c r="F970"/>
      <c r="G970"/>
      <c r="H970"/>
      <c r="I970"/>
      <c r="J970" s="84"/>
      <c r="K970"/>
      <c r="L970"/>
      <c r="M970"/>
      <c r="N970"/>
      <c r="O970"/>
    </row>
    <row r="971" spans="1:15" x14ac:dyDescent="0.25">
      <c r="A971"/>
      <c r="B971"/>
      <c r="C971"/>
      <c r="D971"/>
      <c r="E971"/>
      <c r="F971"/>
      <c r="G971"/>
      <c r="H971"/>
      <c r="I971"/>
      <c r="J971" s="84"/>
      <c r="K971"/>
      <c r="L971"/>
      <c r="M971"/>
      <c r="N971"/>
      <c r="O971"/>
    </row>
    <row r="972" spans="1:15" x14ac:dyDescent="0.25">
      <c r="A972"/>
      <c r="B972"/>
      <c r="C972"/>
      <c r="D972"/>
      <c r="E972"/>
      <c r="F972"/>
      <c r="G972"/>
      <c r="H972"/>
      <c r="I972"/>
      <c r="J972" s="84"/>
      <c r="K972"/>
      <c r="L972"/>
      <c r="M972"/>
      <c r="N972"/>
      <c r="O972"/>
    </row>
    <row r="973" spans="1:15" x14ac:dyDescent="0.25">
      <c r="A973"/>
      <c r="B973"/>
      <c r="C973"/>
      <c r="D973"/>
      <c r="E973"/>
      <c r="F973"/>
      <c r="G973"/>
      <c r="H973"/>
      <c r="I973"/>
      <c r="J973" s="84"/>
      <c r="K973"/>
      <c r="L973"/>
      <c r="M973"/>
      <c r="N973"/>
      <c r="O973"/>
    </row>
    <row r="974" spans="1:15" x14ac:dyDescent="0.25">
      <c r="A974"/>
      <c r="B974"/>
      <c r="C974"/>
      <c r="D974"/>
      <c r="E974"/>
      <c r="F974"/>
      <c r="G974"/>
      <c r="H974"/>
      <c r="I974"/>
      <c r="J974" s="84"/>
      <c r="K974"/>
      <c r="L974"/>
      <c r="M974"/>
      <c r="N974"/>
      <c r="O974"/>
    </row>
    <row r="975" spans="1:15" x14ac:dyDescent="0.25">
      <c r="A975"/>
      <c r="B975"/>
      <c r="C975"/>
      <c r="D975"/>
      <c r="E975"/>
      <c r="F975"/>
      <c r="G975"/>
      <c r="H975"/>
      <c r="I975"/>
      <c r="J975" s="84"/>
      <c r="K975"/>
      <c r="L975"/>
      <c r="M975"/>
      <c r="N975"/>
      <c r="O975"/>
    </row>
    <row r="976" spans="1:15" x14ac:dyDescent="0.25">
      <c r="A976"/>
      <c r="B976"/>
      <c r="C976"/>
      <c r="D976"/>
      <c r="E976"/>
      <c r="F976"/>
      <c r="G976"/>
      <c r="H976"/>
      <c r="I976"/>
      <c r="J976" s="84"/>
      <c r="K976"/>
      <c r="L976"/>
      <c r="M976"/>
      <c r="N976"/>
      <c r="O976"/>
    </row>
    <row r="977" spans="1:15" x14ac:dyDescent="0.25">
      <c r="A977"/>
      <c r="B977"/>
      <c r="C977"/>
      <c r="D977"/>
      <c r="E977"/>
      <c r="F977"/>
      <c r="G977"/>
      <c r="H977"/>
      <c r="I977"/>
      <c r="J977" s="84"/>
      <c r="K977"/>
      <c r="L977"/>
      <c r="M977"/>
      <c r="N977"/>
      <c r="O977"/>
    </row>
    <row r="978" spans="1:15" x14ac:dyDescent="0.25">
      <c r="A978"/>
      <c r="B978"/>
      <c r="C978"/>
      <c r="D978"/>
      <c r="E978"/>
      <c r="F978"/>
      <c r="G978"/>
      <c r="H978"/>
      <c r="I978"/>
      <c r="J978" s="84"/>
      <c r="K978"/>
      <c r="L978"/>
      <c r="M978"/>
      <c r="N978"/>
      <c r="O978"/>
    </row>
    <row r="979" spans="1:15" x14ac:dyDescent="0.25">
      <c r="A979"/>
      <c r="B979"/>
      <c r="C979"/>
      <c r="D979"/>
      <c r="E979"/>
      <c r="F979"/>
      <c r="G979"/>
      <c r="H979"/>
      <c r="I979"/>
      <c r="J979" s="84"/>
      <c r="K979"/>
      <c r="L979"/>
      <c r="M979"/>
      <c r="N979"/>
      <c r="O979"/>
    </row>
    <row r="980" spans="1:15" x14ac:dyDescent="0.25">
      <c r="A980"/>
      <c r="B980"/>
      <c r="C980"/>
      <c r="D980"/>
      <c r="E980"/>
      <c r="F980"/>
      <c r="G980"/>
      <c r="H980"/>
      <c r="I980"/>
      <c r="J980" s="84"/>
      <c r="K980"/>
      <c r="L980"/>
      <c r="M980"/>
      <c r="N980"/>
      <c r="O980"/>
    </row>
    <row r="981" spans="1:15" x14ac:dyDescent="0.25">
      <c r="A981"/>
      <c r="B981"/>
      <c r="C981"/>
      <c r="D981"/>
      <c r="E981"/>
      <c r="F981"/>
      <c r="G981"/>
      <c r="H981"/>
      <c r="I981"/>
      <c r="J981" s="84"/>
      <c r="K981"/>
      <c r="L981"/>
      <c r="M981"/>
      <c r="N981"/>
      <c r="O981"/>
    </row>
    <row r="982" spans="1:15" x14ac:dyDescent="0.25">
      <c r="A982"/>
      <c r="B982"/>
      <c r="C982"/>
      <c r="D982"/>
      <c r="E982"/>
      <c r="F982"/>
      <c r="G982"/>
      <c r="H982"/>
      <c r="I982"/>
      <c r="J982" s="84"/>
      <c r="K982"/>
      <c r="L982"/>
      <c r="M982"/>
      <c r="N982"/>
      <c r="O982"/>
    </row>
    <row r="983" spans="1:15" x14ac:dyDescent="0.25">
      <c r="A983"/>
      <c r="B983"/>
      <c r="C983"/>
      <c r="D983"/>
      <c r="E983"/>
      <c r="F983"/>
      <c r="G983"/>
      <c r="H983"/>
      <c r="I983"/>
      <c r="J983" s="84"/>
      <c r="K983"/>
      <c r="L983"/>
      <c r="M983"/>
      <c r="N983"/>
      <c r="O983"/>
    </row>
    <row r="984" spans="1:15" x14ac:dyDescent="0.25">
      <c r="A984"/>
      <c r="B984"/>
      <c r="C984"/>
      <c r="D984"/>
      <c r="E984"/>
      <c r="F984"/>
      <c r="G984"/>
      <c r="H984"/>
      <c r="I984"/>
      <c r="J984" s="84"/>
      <c r="K984"/>
      <c r="L984"/>
      <c r="M984"/>
      <c r="N984"/>
      <c r="O984"/>
    </row>
    <row r="985" spans="1:15" x14ac:dyDescent="0.25">
      <c r="A985"/>
      <c r="B985"/>
      <c r="C985"/>
      <c r="D985"/>
      <c r="E985"/>
      <c r="F985"/>
      <c r="G985"/>
      <c r="H985"/>
      <c r="I985"/>
      <c r="J985" s="84"/>
      <c r="K985"/>
      <c r="L985"/>
      <c r="M985"/>
      <c r="N985"/>
      <c r="O985"/>
    </row>
    <row r="986" spans="1:15" x14ac:dyDescent="0.25">
      <c r="A986"/>
      <c r="B986"/>
      <c r="C986"/>
      <c r="D986"/>
      <c r="E986"/>
      <c r="F986"/>
      <c r="G986"/>
      <c r="H986"/>
      <c r="I986"/>
      <c r="J986" s="84"/>
      <c r="K986"/>
      <c r="L986"/>
      <c r="M986"/>
      <c r="N986"/>
      <c r="O986"/>
    </row>
    <row r="987" spans="1:15" x14ac:dyDescent="0.25">
      <c r="A987"/>
      <c r="B987"/>
      <c r="C987"/>
      <c r="D987"/>
      <c r="E987"/>
      <c r="F987"/>
      <c r="G987"/>
      <c r="H987"/>
      <c r="I987"/>
      <c r="J987" s="84"/>
      <c r="K987"/>
      <c r="L987"/>
      <c r="M987"/>
      <c r="N987"/>
      <c r="O987"/>
    </row>
    <row r="988" spans="1:15" x14ac:dyDescent="0.25">
      <c r="A988"/>
      <c r="B988"/>
      <c r="C988"/>
      <c r="D988"/>
      <c r="E988"/>
      <c r="F988"/>
      <c r="G988"/>
      <c r="H988"/>
      <c r="I988"/>
      <c r="J988" s="84"/>
      <c r="K988"/>
      <c r="L988"/>
      <c r="M988"/>
      <c r="N988"/>
      <c r="O988"/>
    </row>
    <row r="989" spans="1:15" x14ac:dyDescent="0.25">
      <c r="A989"/>
      <c r="B989"/>
      <c r="C989"/>
      <c r="D989"/>
      <c r="E989"/>
      <c r="F989"/>
      <c r="G989"/>
      <c r="H989"/>
      <c r="I989"/>
      <c r="J989" s="84"/>
      <c r="K989"/>
      <c r="L989"/>
      <c r="M989"/>
      <c r="N989"/>
      <c r="O989"/>
    </row>
    <row r="990" spans="1:15" x14ac:dyDescent="0.25">
      <c r="A990"/>
      <c r="B990"/>
      <c r="C990"/>
      <c r="D990"/>
      <c r="E990"/>
      <c r="F990"/>
      <c r="G990"/>
      <c r="H990"/>
      <c r="I990"/>
      <c r="J990" s="84"/>
      <c r="K990"/>
      <c r="L990"/>
      <c r="M990"/>
      <c r="N990"/>
      <c r="O990"/>
    </row>
    <row r="991" spans="1:15" x14ac:dyDescent="0.25">
      <c r="A991"/>
      <c r="B991"/>
      <c r="C991"/>
      <c r="D991"/>
      <c r="E991"/>
      <c r="F991"/>
      <c r="G991"/>
      <c r="H991"/>
      <c r="I991"/>
      <c r="J991" s="84"/>
      <c r="K991"/>
      <c r="L991"/>
      <c r="M991"/>
      <c r="N991"/>
      <c r="O991"/>
    </row>
    <row r="992" spans="1:15" x14ac:dyDescent="0.25">
      <c r="A992"/>
      <c r="B992"/>
      <c r="C992"/>
      <c r="D992"/>
      <c r="E992"/>
      <c r="F992"/>
      <c r="G992"/>
      <c r="H992"/>
      <c r="I992"/>
      <c r="J992" s="84"/>
      <c r="K992"/>
      <c r="L992"/>
      <c r="M992"/>
      <c r="N992"/>
      <c r="O992"/>
    </row>
    <row r="993" spans="1:15" x14ac:dyDescent="0.25">
      <c r="A993"/>
      <c r="B993"/>
      <c r="C993"/>
      <c r="D993"/>
      <c r="E993"/>
      <c r="F993"/>
      <c r="G993"/>
      <c r="H993"/>
      <c r="I993"/>
      <c r="J993" s="84"/>
      <c r="K993"/>
      <c r="L993"/>
      <c r="M993"/>
      <c r="N993"/>
      <c r="O993"/>
    </row>
    <row r="994" spans="1:15" x14ac:dyDescent="0.25">
      <c r="A994"/>
      <c r="B994"/>
      <c r="C994"/>
      <c r="D994"/>
      <c r="E994"/>
      <c r="F994"/>
      <c r="G994"/>
      <c r="H994"/>
      <c r="I994"/>
      <c r="J994" s="84"/>
      <c r="K994"/>
      <c r="L994"/>
      <c r="M994"/>
      <c r="N994"/>
      <c r="O994"/>
    </row>
    <row r="995" spans="1:15" x14ac:dyDescent="0.25">
      <c r="A995"/>
      <c r="B995"/>
      <c r="C995"/>
      <c r="D995"/>
      <c r="E995"/>
      <c r="F995"/>
      <c r="G995"/>
      <c r="H995"/>
      <c r="I995"/>
      <c r="J995" s="84"/>
      <c r="K995"/>
      <c r="L995"/>
      <c r="M995"/>
      <c r="N995"/>
      <c r="O995"/>
    </row>
    <row r="996" spans="1:15" x14ac:dyDescent="0.25">
      <c r="A996"/>
      <c r="B996"/>
      <c r="C996"/>
      <c r="D996"/>
      <c r="E996"/>
      <c r="F996"/>
      <c r="G996"/>
      <c r="H996"/>
      <c r="I996"/>
      <c r="J996" s="84"/>
      <c r="K996"/>
      <c r="L996"/>
      <c r="M996"/>
      <c r="N996"/>
      <c r="O996"/>
    </row>
    <row r="997" spans="1:15" x14ac:dyDescent="0.25">
      <c r="A997"/>
      <c r="B997"/>
      <c r="C997"/>
      <c r="D997"/>
      <c r="E997"/>
      <c r="F997"/>
      <c r="G997"/>
      <c r="H997"/>
      <c r="I997"/>
      <c r="J997" s="84"/>
      <c r="K997"/>
      <c r="L997"/>
      <c r="M997"/>
      <c r="N997"/>
      <c r="O997"/>
    </row>
    <row r="998" spans="1:15" x14ac:dyDescent="0.25">
      <c r="A998"/>
      <c r="B998"/>
      <c r="C998"/>
      <c r="D998"/>
      <c r="E998"/>
      <c r="F998"/>
      <c r="G998"/>
      <c r="H998"/>
      <c r="I998"/>
      <c r="J998" s="84"/>
      <c r="K998"/>
      <c r="L998"/>
      <c r="M998"/>
      <c r="N998"/>
      <c r="O998"/>
    </row>
    <row r="999" spans="1:15" x14ac:dyDescent="0.25">
      <c r="A999"/>
      <c r="B999"/>
      <c r="C999"/>
      <c r="D999"/>
      <c r="E999"/>
      <c r="F999"/>
      <c r="G999"/>
      <c r="H999"/>
      <c r="I999"/>
      <c r="J999" s="84"/>
      <c r="K999"/>
      <c r="L999"/>
      <c r="M999"/>
      <c r="N999"/>
      <c r="O999"/>
    </row>
    <row r="1000" spans="1:15" x14ac:dyDescent="0.25">
      <c r="A1000"/>
      <c r="B1000"/>
      <c r="C1000"/>
      <c r="D1000"/>
      <c r="E1000"/>
      <c r="F1000"/>
      <c r="G1000"/>
      <c r="H1000"/>
      <c r="I1000"/>
      <c r="J1000" s="84"/>
      <c r="K1000"/>
      <c r="L1000"/>
      <c r="M1000"/>
      <c r="N1000"/>
      <c r="O1000"/>
    </row>
  </sheetData>
  <autoFilter ref="A3:O371">
    <sortState ref="A4:O371">
      <sortCondition ref="J3:J371"/>
    </sortState>
  </autoFilter>
  <mergeCells count="5">
    <mergeCell ref="A1:O1"/>
    <mergeCell ref="B2:F2"/>
    <mergeCell ref="G2:H2"/>
    <mergeCell ref="I2:J2"/>
    <mergeCell ref="K2:N2"/>
  </mergeCells>
  <conditionalFormatting sqref="K1:N1048576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Données_Planning</vt:lpstr>
      <vt:lpstr>Visu_Planning</vt:lpstr>
      <vt:lpstr>Passages &amp; Appels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2017-04-21T13:58:46Z</dcterms:modified>
</cp:coreProperties>
</file>